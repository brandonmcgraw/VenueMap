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3613" codeName="{00000000-0000-0000-0000-000000000000}"/>
  <workbookPr showInkAnnotation="0" codeName="ThisWorkbook" autoCompressPictures="0"/>
  <bookViews>
    <workbookView xWindow="0" yWindow="0" windowWidth="25600" windowHeight="16060" tabRatio="500"/>
  </bookViews>
  <sheets>
    <sheet name="Using Venue Database" sheetId="12" r:id="rId1"/>
    <sheet name="Data Set" sheetId="2" r:id="rId2"/>
    <sheet name="Defaults" sheetId="3" r:id="rId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5" i="2" l="1"/>
  <c r="A6" i="2"/>
  <c r="J6" i="2"/>
  <c r="K6" i="2"/>
  <c r="B6" i="2"/>
  <c r="Q6" i="2"/>
  <c r="J5" i="2"/>
  <c r="K5" i="2"/>
  <c r="B5" i="2"/>
  <c r="Q5" i="2"/>
  <c r="P6" i="2"/>
  <c r="P5" i="2"/>
  <c r="O6" i="2"/>
  <c r="O5" i="2"/>
  <c r="M6" i="2"/>
  <c r="M5" i="2"/>
  <c r="N6" i="2"/>
  <c r="L6" i="2"/>
  <c r="N5" i="2"/>
  <c r="L5" i="2"/>
</calcChain>
</file>

<file path=xl/sharedStrings.xml><?xml version="1.0" encoding="utf-8"?>
<sst xmlns="http://schemas.openxmlformats.org/spreadsheetml/2006/main" count="112" uniqueCount="109">
  <si>
    <t>Building ID</t>
  </si>
  <si>
    <t>Count</t>
  </si>
  <si>
    <t>Latitude</t>
  </si>
  <si>
    <t>Longitude</t>
  </si>
  <si>
    <t>Empire State Building</t>
  </si>
  <si>
    <t>First Half Building's .h</t>
  </si>
  <si>
    <t>Second Half Building's .h</t>
  </si>
  <si>
    <t>First Part Building's .m</t>
  </si>
  <si>
    <t>2nd Part Buildings .m</t>
  </si>
  <si>
    <t>3rd part</t>
  </si>
  <si>
    <t>4th part</t>
  </si>
  <si>
    <t>5th</t>
  </si>
  <si>
    <t>6th</t>
  </si>
  <si>
    <t>7th</t>
  </si>
  <si>
    <t xml:space="preserve">.h"
@implementation </t>
  </si>
  <si>
    <t xml:space="preserve">;
    theCoordinate.longitude = </t>
  </si>
  <si>
    <t>Create Building .h</t>
  </si>
  <si>
    <t>Building's .h Code</t>
  </si>
  <si>
    <t>Building .h
&amp;
Building .m</t>
  </si>
  <si>
    <t>Building's .m Code</t>
  </si>
  <si>
    <t>Create Building .m</t>
  </si>
  <si>
    <t>Convert buildingXXAnotation to Upper Case</t>
  </si>
  <si>
    <t>#import "</t>
  </si>
  <si>
    <t>.h"</t>
  </si>
  <si>
    <t xml:space="preserve">
    </t>
  </si>
  <si>
    <t xml:space="preserve"> *</t>
  </si>
  <si>
    <t xml:space="preserve"> = [[</t>
  </si>
  <si>
    <t>- (void)show</t>
  </si>
  <si>
    <t xml:space="preserve"> class]])   // for </t>
  </si>
  <si>
    <t xml:space="preserve">
    {
  // try to dequeue an existing pin view first
        static NSString* </t>
  </si>
  <si>
    <t>Identifier = @"</t>
  </si>
  <si>
    <t>Identifier";
        MKPinAnnotationView* pinView = (MKPinAnnotationView *)
  [mapView dequeueReusableAnnotationViewWithIdentifier:</t>
  </si>
  <si>
    <t>Convert buildingXXAnnotation to buildingXX</t>
  </si>
  <si>
    <t xml:space="preserve">Details:)
                  forControlEvents:UIControlEventTouchUpInside];
            customPinView.rightCalloutAccessoryView = rightButton;
            return customPinView;
        }
        else
        {
            pinView.annotation = annotation;
        }
        return pinView;
    }
 // stop copying here
</t>
  </si>
  <si>
    <t>// start copying from here 
    else if ([annotation isKindOfClass:[</t>
  </si>
  <si>
    <t>;
    return theCoordinate; 
}
- (NSString *)title
{
    return @"</t>
  </si>
  <si>
    <t xml:space="preserve">
@synthesize latitude;
@synthesize longitude;
- (CLLocationCoordinate2D)coordinate;
{
    CLLocationCoordinate2D theCoordinate;
    theCoordinate.latitude = </t>
  </si>
  <si>
    <t xml:space="preserve">: NSObject &lt;MKAnnotation&gt;
{
    NSNumber *latitude;
    NSNumber *longitude;
}
@property (nonatomic, retain) NSNumber *latitude;
@property (nonatomic, retain) NSNumber *longitude;
@end
</t>
  </si>
  <si>
    <t>Identifier];
        if (!pinView)
        {
            // if an existing pin view was not available, create one
            MKPinAnnotationView* customPinView = [[MKPinAnnotationView alloc]
               initWithAnnotation:annotation reuseIdentifier:</t>
  </si>
  <si>
    <t>VenueMap - Database</t>
  </si>
  <si>
    <t>--</t>
  </si>
  <si>
    <t>Annotation Subtitle</t>
  </si>
  <si>
    <t>Annotation Title</t>
  </si>
  <si>
    <t>URL to Display in Detail View</t>
  </si>
  <si>
    <t>http://www.apple.com</t>
  </si>
  <si>
    <t>http://www.google.com</t>
  </si>
  <si>
    <t>Full Street Address</t>
  </si>
  <si>
    <t>The Flatiron Building</t>
  </si>
  <si>
    <t>Flatiron was it's nickname, but it stuck</t>
  </si>
  <si>
    <t>350 5th Ave, New York, NY</t>
  </si>
  <si>
    <t>175 5th Ave, New York, NY</t>
  </si>
  <si>
    <t xml:space="preserve">/*
 Abstract: The custom MKAnnotation object representing a venue.
 */
#import &lt;MapKit/MapKit.h&gt;
@interface  </t>
  </si>
  <si>
    <t>/*
 Abstract: The custom MKAnnotation object representing a venue.
 */
#import "</t>
  </si>
  <si>
    <t>";
}
// optional
- (NSString *)subtitle
{
    return @"</t>
  </si>
  <si>
    <t xml:space="preserve">";
}
@end
</t>
  </si>
  <si>
    <t xml:space="preserve">    // annotation for </t>
  </si>
  <si>
    <t xml:space="preserve"> alloc] init];
    [self.venueAnnotationArray insertObject:</t>
  </si>
  <si>
    <t xml:space="preserve"> atIndex:kBuildingAnnotationIndex];
</t>
  </si>
  <si>
    <t xml:space="preserve">";
    // perform the segue (this will load the perform segue method where data will pass through)
    [self performSegueWithIdentifier: @"detailSegue" sender: self];
}
</t>
  </si>
  <si>
    <t>Step 1</t>
  </si>
  <si>
    <t>Step 2</t>
  </si>
  <si>
    <t>// start copying from here 
    if ([annotation isKindOfClass:[</t>
  </si>
  <si>
    <t>What Color Pins?</t>
  </si>
  <si>
    <t>Red</t>
  </si>
  <si>
    <t>Should They Animate When They Drop?</t>
  </si>
  <si>
    <t>NO</t>
  </si>
  <si>
    <t>;
            customPinView.canShowCallout = YES;
            UIButton* rightButton = [UIButton buttonWithType:UIButtonTypeDetailDisclosure];
            [rightButton addTarget:self
                            action:@selector(show</t>
  </si>
  <si>
    <t xml:space="preserve">;
            customPinView.animatesDrop = </t>
  </si>
  <si>
    <t>Identifier];
            customPinView.pinColor = MKPinAnnotationColor</t>
  </si>
  <si>
    <t>Step 3</t>
  </si>
  <si>
    <t>Step 4</t>
  </si>
  <si>
    <t>STEP 1</t>
  </si>
  <si>
    <t>STEP 1 -2</t>
  </si>
  <si>
    <t>STEP 2</t>
  </si>
  <si>
    <t>STEP 3</t>
  </si>
  <si>
    <t>STEP 4</t>
  </si>
  <si>
    <t>STEP 4 -1</t>
  </si>
  <si>
    <t>STEP 4 - This is where the annotation is loaded into the map; modifiers exist here to add an image or change the color of the pin</t>
  </si>
  <si>
    <t>STEP 3 - Create the Function that Loads the Building's details into the DetailViewController</t>
  </si>
  <si>
    <t>STEP 3 -1</t>
  </si>
  <si>
    <r>
      <rPr>
        <b/>
        <sz val="12"/>
        <color theme="1"/>
        <rFont val="Calibri"/>
        <family val="2"/>
        <scheme val="minor"/>
      </rPr>
      <t>STEP 1 - Import the Building's .h
STEP 2 - Initialize the Annotation and Add it to the index</t>
    </r>
  </si>
  <si>
    <t>STEP 2 - 1</t>
  </si>
  <si>
    <t>2</t>
  </si>
  <si>
    <t>Details:(id)sender
{
    // set the URL that we want to display on the detail view for this annotation
    currentURL = @"</t>
  </si>
  <si>
    <t>Capable of 16 million different color combos</t>
  </si>
  <si>
    <t>Venue Database</t>
  </si>
  <si>
    <t>Version 1.0</t>
  </si>
  <si>
    <t>Control the Appearance of the Pins *Changing Requires Copying &amp; Pasting Step 4 Again*</t>
  </si>
  <si>
    <t>1. Overall VenueMaps instructions are available on the GitHub page, what follows is some simple guidance for using the database.</t>
  </si>
  <si>
    <t>2. Database requires Excel for Mac 2011, which enables VBA scripting.</t>
  </si>
  <si>
    <t>3. Columns C-H are where you input the information for the individual pins that will appear on the Map</t>
  </si>
  <si>
    <t>4. Two demo pins have been provided, you can clear these and replace with your own text.</t>
  </si>
  <si>
    <t>5. When you need more pins, just copy the whole row down as many times as you need and delete the redundant data in columns C-H so that you can input new data</t>
  </si>
  <si>
    <t>http://stevemorse.org/jcal/latlonbatch.html</t>
  </si>
  <si>
    <t>6. GPS data can be obtained by copying the addresses into Stephen Morse's excllent tool here:</t>
  </si>
  <si>
    <t>7. When you're ready to output, first press the "Output header and implementation files" button to save these to the H_M_Output Folder that comes with this project</t>
  </si>
  <si>
    <t>8. Copy these files into the Xcode project under the "Venue Annotation Classes" folder, deleting the existing files first and ensuring "Add to Target" is checked</t>
  </si>
  <si>
    <t>9. Then, press the buttons to copy each step; paste each step, one by one into a TextEdit document and then into the Xcode project under it's Step # section</t>
  </si>
  <si>
    <t>10. Run the Xcode project in the simulator</t>
  </si>
  <si>
    <t>Optional:</t>
  </si>
  <si>
    <t>OPTIONS: (YES or NO)</t>
  </si>
  <si>
    <t>OPTIONS: (Red, Purple, Green)</t>
  </si>
  <si>
    <t>Released to GitHub on August 2013</t>
  </si>
  <si>
    <t>0. A clear tutorial for these instructions is available to watch on YouTube, I recommend watching this over reading the instructions:</t>
  </si>
  <si>
    <t>Usage Instructions</t>
  </si>
  <si>
    <r>
      <t>If you'd like to control the color of the Pins and whether or not they animate when they drop, change them here.</t>
    </r>
    <r>
      <rPr>
        <b/>
        <sz val="12"/>
        <color theme="1"/>
        <rFont val="Helvetica"/>
      </rPr>
      <t xml:space="preserve"> A change requires copying and pasting Step 4 back into the Xcode project.</t>
    </r>
  </si>
  <si>
    <t>Released to GitHub - Aug '13</t>
  </si>
  <si>
    <t xml:space="preserve"> The MIT License (MIT)
 Copyright (c) 2013 Brandon McGraw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</si>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</sst>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2"/>
      <color theme="1"/>
      <name val="Calibri"/>
      <family val="2"/>
      <scheme val="minor"/>
    </font>
    <font>
      <b/>
      <sz val="12"/>
      <color theme="1"/>
      <name val="Calibri"/>
      <family val="2"/>
      <scheme val="minor"/>
    </font>
    <font>
      <sz val="12"/>
      <name val="Calibri"/>
      <scheme val="minor"/>
    </font>
    <font>
      <sz val="12"/>
      <color rgb="FF000000"/>
      <name val="Calibri"/>
      <family val="2"/>
      <scheme val="minor"/>
    </font>
    <font>
      <u/>
      <sz val="12"/>
      <color theme="10"/>
      <name val="Calibri"/>
      <family val="2"/>
      <scheme val="minor"/>
    </font>
    <font>
      <u/>
      <sz val="12"/>
      <color theme="11"/>
      <name val="Calibri"/>
      <family val="2"/>
      <scheme val="minor"/>
    </font>
    <font>
      <sz val="10"/>
      <color theme="1"/>
      <name val="Calibri"/>
      <scheme val="minor"/>
    </font>
    <font>
      <sz val="28"/>
      <color theme="1"/>
      <name val="Helvetica"/>
    </font>
    <font>
      <sz val="12"/>
      <color theme="1"/>
      <name val="Helvetica"/>
    </font>
    <font>
      <b/>
      <sz val="16"/>
      <color theme="1"/>
      <name val="Helvetica"/>
    </font>
    <font>
      <b/>
      <sz val="12"/>
      <color theme="1"/>
      <name val="Helvetica"/>
    </font>
    <font>
      <u/>
      <sz val="12"/>
      <color theme="10"/>
      <name val="Helvetica"/>
    </font>
    <font>
      <b/>
      <u/>
      <sz val="12"/>
      <color theme="1"/>
      <name val="Helvetica"/>
    </font>
  </fonts>
  <fills count="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tint="0.59999389629810485"/>
        <bgColor indexed="64"/>
      </patternFill>
    </fill>
    <fill>
      <patternFill patternType="solid">
        <fgColor theme="4" tint="0.39997558519241921"/>
        <bgColor indexed="64"/>
      </patternFill>
    </fill>
  </fills>
  <borders count="11">
    <border>
      <left/>
      <right/>
      <top/>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s>
  <cellStyleXfs count="17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52">
    <xf numFmtId="0" fontId="0" fillId="0" borderId="0" xfId="0"/>
    <xf numFmtId="0" fontId="1" fillId="0" borderId="0" xfId="0" applyFont="1"/>
    <xf numFmtId="0" fontId="2" fillId="0" borderId="0" xfId="0" applyFont="1"/>
    <xf numFmtId="1" fontId="0" fillId="0" borderId="0" xfId="0" applyNumberFormat="1"/>
    <xf numFmtId="1" fontId="0" fillId="0" borderId="0" xfId="0" applyNumberFormat="1" applyAlignment="1">
      <alignment horizontal="left"/>
    </xf>
    <xf numFmtId="0" fontId="0" fillId="0" borderId="0" xfId="0" applyBorder="1"/>
    <xf numFmtId="0" fontId="0" fillId="3" borderId="0" xfId="0" applyFill="1"/>
    <xf numFmtId="0" fontId="0" fillId="3" borderId="0" xfId="0" quotePrefix="1" applyFill="1"/>
    <xf numFmtId="0" fontId="1" fillId="0" borderId="3" xfId="0" applyFont="1" applyBorder="1"/>
    <xf numFmtId="0" fontId="1" fillId="0" borderId="4" xfId="0" applyFont="1" applyBorder="1"/>
    <xf numFmtId="0" fontId="0" fillId="0" borderId="5" xfId="0" quotePrefix="1" applyBorder="1" applyAlignment="1">
      <alignment wrapText="1"/>
    </xf>
    <xf numFmtId="0" fontId="0" fillId="0" borderId="6" xfId="0" quotePrefix="1" applyBorder="1" applyAlignment="1">
      <alignment wrapText="1"/>
    </xf>
    <xf numFmtId="0" fontId="1" fillId="0" borderId="0" xfId="0" applyFont="1" applyBorder="1"/>
    <xf numFmtId="0" fontId="0" fillId="0" borderId="10" xfId="0" quotePrefix="1" applyBorder="1" applyAlignment="1">
      <alignment wrapText="1"/>
    </xf>
    <xf numFmtId="0" fontId="0" fillId="0" borderId="0" xfId="0" applyAlignment="1">
      <alignment wrapText="1"/>
    </xf>
    <xf numFmtId="0" fontId="0" fillId="0" borderId="5" xfId="0" quotePrefix="1" applyBorder="1"/>
    <xf numFmtId="0" fontId="0" fillId="0" borderId="6" xfId="0" quotePrefix="1" applyBorder="1"/>
    <xf numFmtId="0" fontId="0" fillId="0" borderId="4" xfId="0" applyBorder="1"/>
    <xf numFmtId="0" fontId="0" fillId="0" borderId="10" xfId="0" quotePrefix="1" applyBorder="1"/>
    <xf numFmtId="0" fontId="0" fillId="0" borderId="6" xfId="0" applyBorder="1"/>
    <xf numFmtId="0" fontId="0" fillId="0" borderId="3" xfId="0" applyBorder="1"/>
    <xf numFmtId="0" fontId="1" fillId="2" borderId="0" xfId="0" applyFont="1" applyFill="1"/>
    <xf numFmtId="0" fontId="0" fillId="0" borderId="0" xfId="0" quotePrefix="1" applyAlignment="1">
      <alignment wrapText="1"/>
    </xf>
    <xf numFmtId="0" fontId="1" fillId="0" borderId="0" xfId="0" quotePrefix="1" applyFont="1" applyBorder="1"/>
    <xf numFmtId="49" fontId="0" fillId="0" borderId="0" xfId="0" applyNumberFormat="1"/>
    <xf numFmtId="0" fontId="0" fillId="0" borderId="0" xfId="0" applyProtection="1">
      <protection locked="0"/>
    </xf>
    <xf numFmtId="0" fontId="1" fillId="0" borderId="0" xfId="0" applyFont="1" applyProtection="1">
      <protection locked="0"/>
    </xf>
    <xf numFmtId="0" fontId="2" fillId="0" borderId="0" xfId="0" applyFont="1" applyFill="1" applyAlignment="1" applyProtection="1">
      <alignment horizontal="left" vertical="center" wrapText="1"/>
      <protection locked="0"/>
    </xf>
    <xf numFmtId="0" fontId="3" fillId="0" borderId="0" xfId="0" applyFont="1" applyAlignment="1" applyProtection="1">
      <alignment horizontal="left" vertical="center" wrapText="1"/>
      <protection locked="0"/>
    </xf>
    <xf numFmtId="0" fontId="0" fillId="0" borderId="0" xfId="0" applyAlignment="1" applyProtection="1">
      <alignment horizontal="right" vertical="center" wrapText="1"/>
      <protection locked="0"/>
    </xf>
    <xf numFmtId="0" fontId="0" fillId="0" borderId="0" xfId="0" applyBorder="1" applyProtection="1">
      <protection locked="0"/>
    </xf>
    <xf numFmtId="0" fontId="4" fillId="0" borderId="0" xfId="57" applyProtection="1">
      <protection locked="0"/>
    </xf>
    <xf numFmtId="0" fontId="6" fillId="0" borderId="0" xfId="0" applyFont="1" applyProtection="1">
      <protection locked="0"/>
    </xf>
    <xf numFmtId="0" fontId="0" fillId="0" borderId="0" xfId="0" applyAlignment="1" applyProtection="1">
      <alignment horizontal="left"/>
      <protection locked="0"/>
    </xf>
    <xf numFmtId="0" fontId="7" fillId="0" borderId="0" xfId="0" applyFont="1"/>
    <xf numFmtId="0" fontId="8" fillId="0" borderId="0" xfId="0" applyFont="1"/>
    <xf numFmtId="0" fontId="9" fillId="0" borderId="0" xfId="0" applyFont="1"/>
    <xf numFmtId="0" fontId="10" fillId="0" borderId="0" xfId="0" applyFont="1"/>
    <xf numFmtId="0" fontId="11" fillId="0" borderId="0" xfId="57" applyFont="1"/>
    <xf numFmtId="0" fontId="12" fillId="0" borderId="0" xfId="0" applyFont="1"/>
    <xf numFmtId="0" fontId="1" fillId="4" borderId="4" xfId="0" applyFont="1" applyFill="1" applyBorder="1" applyAlignment="1">
      <alignment horizontal="left" vertical="center" wrapText="1"/>
    </xf>
    <xf numFmtId="0" fontId="0" fillId="5" borderId="4" xfId="0" applyFill="1" applyBorder="1" applyAlignment="1">
      <alignment horizontal="left" vertical="center" wrapText="1"/>
    </xf>
    <xf numFmtId="0" fontId="1" fillId="5" borderId="4" xfId="0" applyFont="1" applyFill="1" applyBorder="1" applyAlignment="1">
      <alignment horizontal="left"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7" xfId="0" applyFont="1" applyBorder="1" applyAlignment="1">
      <alignment horizontal="center" vertical="center"/>
    </xf>
    <xf numFmtId="0" fontId="1" fillId="0" borderId="9" xfId="0" applyFont="1" applyBorder="1" applyAlignment="1">
      <alignment horizontal="center" vertical="center"/>
    </xf>
    <xf numFmtId="0" fontId="1" fillId="0" borderId="8" xfId="0" applyFont="1" applyBorder="1" applyAlignment="1">
      <alignment horizontal="center" vertical="center"/>
    </xf>
    <xf numFmtId="0" fontId="8" fillId="0" borderId="0" xfId="0" applyFont="1" applyAlignment="1">
      <alignment wrapText="1"/>
    </xf>
  </cellXfs>
  <cellStyles count="178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60" builtinId="9" hidden="1"/>
    <cellStyle name="Followed Hyperlink" xfId="461" builtinId="9" hidden="1"/>
    <cellStyle name="Followed Hyperlink" xfId="462" builtinId="9" hidden="1"/>
    <cellStyle name="Followed Hyperlink" xfId="463" builtinId="9" hidden="1"/>
    <cellStyle name="Followed Hyperlink" xfId="464" builtinId="9" hidden="1"/>
    <cellStyle name="Followed Hyperlink" xfId="465" builtinId="9" hidden="1"/>
    <cellStyle name="Followed Hyperlink" xfId="466" builtinId="9" hidden="1"/>
    <cellStyle name="Followed Hyperlink" xfId="467" builtinId="9" hidden="1"/>
    <cellStyle name="Followed Hyperlink" xfId="468" builtinId="9" hidden="1"/>
    <cellStyle name="Followed Hyperlink" xfId="469" builtinId="9" hidden="1"/>
    <cellStyle name="Followed Hyperlink" xfId="470" builtinId="9" hidden="1"/>
    <cellStyle name="Followed Hyperlink" xfId="471" builtinId="9" hidden="1"/>
    <cellStyle name="Followed Hyperlink" xfId="472" builtinId="9" hidden="1"/>
    <cellStyle name="Followed Hyperlink" xfId="473" builtinId="9" hidden="1"/>
    <cellStyle name="Followed Hyperlink" xfId="474" builtinId="9" hidden="1"/>
    <cellStyle name="Followed Hyperlink" xfId="475" builtinId="9" hidden="1"/>
    <cellStyle name="Followed Hyperlink" xfId="476" builtinId="9" hidden="1"/>
    <cellStyle name="Followed Hyperlink" xfId="477" builtinId="9" hidden="1"/>
    <cellStyle name="Followed Hyperlink" xfId="478" builtinId="9" hidden="1"/>
    <cellStyle name="Followed Hyperlink" xfId="479" builtinId="9" hidden="1"/>
    <cellStyle name="Followed Hyperlink" xfId="480" builtinId="9" hidden="1"/>
    <cellStyle name="Followed Hyperlink" xfId="481" builtinId="9" hidden="1"/>
    <cellStyle name="Followed Hyperlink" xfId="482" builtinId="9" hidden="1"/>
    <cellStyle name="Followed Hyperlink" xfId="483" builtinId="9" hidden="1"/>
    <cellStyle name="Followed Hyperlink" xfId="484" builtinId="9" hidden="1"/>
    <cellStyle name="Followed Hyperlink" xfId="485" builtinId="9" hidden="1"/>
    <cellStyle name="Followed Hyperlink" xfId="486" builtinId="9" hidden="1"/>
    <cellStyle name="Followed Hyperlink" xfId="487" builtinId="9" hidden="1"/>
    <cellStyle name="Followed Hyperlink" xfId="488" builtinId="9" hidden="1"/>
    <cellStyle name="Followed Hyperlink" xfId="489" builtinId="9" hidden="1"/>
    <cellStyle name="Followed Hyperlink" xfId="490" builtinId="9" hidden="1"/>
    <cellStyle name="Followed Hyperlink" xfId="491" builtinId="9" hidden="1"/>
    <cellStyle name="Followed Hyperlink" xfId="492" builtinId="9" hidden="1"/>
    <cellStyle name="Followed Hyperlink" xfId="493" builtinId="9" hidden="1"/>
    <cellStyle name="Followed Hyperlink" xfId="494" builtinId="9" hidden="1"/>
    <cellStyle name="Followed Hyperlink" xfId="495" builtinId="9" hidden="1"/>
    <cellStyle name="Followed Hyperlink" xfId="496" builtinId="9" hidden="1"/>
    <cellStyle name="Followed Hyperlink" xfId="497" builtinId="9" hidden="1"/>
    <cellStyle name="Followed Hyperlink" xfId="498" builtinId="9" hidden="1"/>
    <cellStyle name="Followed Hyperlink" xfId="499" builtinId="9" hidden="1"/>
    <cellStyle name="Followed Hyperlink" xfId="500" builtinId="9" hidden="1"/>
    <cellStyle name="Followed Hyperlink" xfId="501" builtinId="9" hidden="1"/>
    <cellStyle name="Followed Hyperlink" xfId="502" builtinId="9" hidden="1"/>
    <cellStyle name="Followed Hyperlink" xfId="503" builtinId="9" hidden="1"/>
    <cellStyle name="Followed Hyperlink" xfId="504" builtinId="9" hidden="1"/>
    <cellStyle name="Followed Hyperlink" xfId="505" builtinId="9" hidden="1"/>
    <cellStyle name="Followed Hyperlink" xfId="506" builtinId="9" hidden="1"/>
    <cellStyle name="Followed Hyperlink" xfId="507" builtinId="9" hidden="1"/>
    <cellStyle name="Followed Hyperlink" xfId="508" builtinId="9" hidden="1"/>
    <cellStyle name="Followed Hyperlink" xfId="509" builtinId="9" hidden="1"/>
    <cellStyle name="Followed Hyperlink" xfId="510" builtinId="9" hidden="1"/>
    <cellStyle name="Followed Hyperlink" xfId="511" builtinId="9" hidden="1"/>
    <cellStyle name="Followed Hyperlink" xfId="512" builtinId="9" hidden="1"/>
    <cellStyle name="Followed Hyperlink" xfId="513" builtinId="9" hidden="1"/>
    <cellStyle name="Followed Hyperlink" xfId="514" builtinId="9" hidden="1"/>
    <cellStyle name="Followed Hyperlink" xfId="515" builtinId="9" hidden="1"/>
    <cellStyle name="Followed Hyperlink" xfId="516" builtinId="9" hidden="1"/>
    <cellStyle name="Followed Hyperlink" xfId="517" builtinId="9" hidden="1"/>
    <cellStyle name="Followed Hyperlink" xfId="518" builtinId="9" hidden="1"/>
    <cellStyle name="Followed Hyperlink" xfId="519" builtinId="9" hidden="1"/>
    <cellStyle name="Followed Hyperlink" xfId="520" builtinId="9" hidden="1"/>
    <cellStyle name="Followed Hyperlink" xfId="521" builtinId="9" hidden="1"/>
    <cellStyle name="Followed Hyperlink" xfId="522" builtinId="9" hidden="1"/>
    <cellStyle name="Followed Hyperlink" xfId="523" builtinId="9" hidden="1"/>
    <cellStyle name="Followed Hyperlink" xfId="524" builtinId="9" hidden="1"/>
    <cellStyle name="Followed Hyperlink" xfId="525" builtinId="9" hidden="1"/>
    <cellStyle name="Followed Hyperlink" xfId="526" builtinId="9" hidden="1"/>
    <cellStyle name="Followed Hyperlink" xfId="527" builtinId="9" hidden="1"/>
    <cellStyle name="Followed Hyperlink" xfId="528" builtinId="9" hidden="1"/>
    <cellStyle name="Followed Hyperlink" xfId="529" builtinId="9" hidden="1"/>
    <cellStyle name="Followed Hyperlink" xfId="530" builtinId="9" hidden="1"/>
    <cellStyle name="Followed Hyperlink" xfId="531" builtinId="9" hidden="1"/>
    <cellStyle name="Followed Hyperlink" xfId="532" builtinId="9" hidden="1"/>
    <cellStyle name="Followed Hyperlink" xfId="533" builtinId="9" hidden="1"/>
    <cellStyle name="Followed Hyperlink" xfId="534" builtinId="9" hidden="1"/>
    <cellStyle name="Followed Hyperlink" xfId="535" builtinId="9" hidden="1"/>
    <cellStyle name="Followed Hyperlink" xfId="536" builtinId="9" hidden="1"/>
    <cellStyle name="Followed Hyperlink" xfId="537" builtinId="9" hidden="1"/>
    <cellStyle name="Followed Hyperlink" xfId="538" builtinId="9" hidden="1"/>
    <cellStyle name="Followed Hyperlink" xfId="539" builtinId="9" hidden="1"/>
    <cellStyle name="Followed Hyperlink" xfId="540" builtinId="9" hidden="1"/>
    <cellStyle name="Followed Hyperlink" xfId="541" builtinId="9" hidden="1"/>
    <cellStyle name="Followed Hyperlink" xfId="542" builtinId="9" hidden="1"/>
    <cellStyle name="Followed Hyperlink" xfId="543" builtinId="9" hidden="1"/>
    <cellStyle name="Followed Hyperlink" xfId="544" builtinId="9" hidden="1"/>
    <cellStyle name="Followed Hyperlink" xfId="545" builtinId="9" hidden="1"/>
    <cellStyle name="Followed Hyperlink" xfId="546" builtinId="9" hidden="1"/>
    <cellStyle name="Followed Hyperlink" xfId="547" builtinId="9" hidden="1"/>
    <cellStyle name="Followed Hyperlink" xfId="548" builtinId="9" hidden="1"/>
    <cellStyle name="Followed Hyperlink" xfId="549" builtinId="9" hidden="1"/>
    <cellStyle name="Followed Hyperlink" xfId="550" builtinId="9" hidden="1"/>
    <cellStyle name="Followed Hyperlink" xfId="551" builtinId="9" hidden="1"/>
    <cellStyle name="Followed Hyperlink" xfId="552" builtinId="9" hidden="1"/>
    <cellStyle name="Followed Hyperlink" xfId="553" builtinId="9" hidden="1"/>
    <cellStyle name="Followed Hyperlink" xfId="554" builtinId="9" hidden="1"/>
    <cellStyle name="Followed Hyperlink" xfId="555" builtinId="9" hidden="1"/>
    <cellStyle name="Followed Hyperlink" xfId="556" builtinId="9" hidden="1"/>
    <cellStyle name="Followed Hyperlink" xfId="557" builtinId="9" hidden="1"/>
    <cellStyle name="Followed Hyperlink" xfId="558" builtinId="9" hidden="1"/>
    <cellStyle name="Followed Hyperlink" xfId="559" builtinId="9" hidden="1"/>
    <cellStyle name="Followed Hyperlink" xfId="560" builtinId="9" hidden="1"/>
    <cellStyle name="Followed Hyperlink" xfId="561" builtinId="9" hidden="1"/>
    <cellStyle name="Followed Hyperlink" xfId="562" builtinId="9" hidden="1"/>
    <cellStyle name="Followed Hyperlink" xfId="563" builtinId="9" hidden="1"/>
    <cellStyle name="Followed Hyperlink" xfId="564" builtinId="9" hidden="1"/>
    <cellStyle name="Followed Hyperlink" xfId="565" builtinId="9" hidden="1"/>
    <cellStyle name="Followed Hyperlink" xfId="566" builtinId="9" hidden="1"/>
    <cellStyle name="Followed Hyperlink" xfId="567" builtinId="9" hidden="1"/>
    <cellStyle name="Followed Hyperlink" xfId="568" builtinId="9" hidden="1"/>
    <cellStyle name="Followed Hyperlink" xfId="569" builtinId="9" hidden="1"/>
    <cellStyle name="Followed Hyperlink" xfId="570" builtinId="9" hidden="1"/>
    <cellStyle name="Followed Hyperlink" xfId="571" builtinId="9" hidden="1"/>
    <cellStyle name="Followed Hyperlink" xfId="572" builtinId="9" hidden="1"/>
    <cellStyle name="Followed Hyperlink" xfId="573" builtinId="9" hidden="1"/>
    <cellStyle name="Followed Hyperlink" xfId="574" builtinId="9" hidden="1"/>
    <cellStyle name="Followed Hyperlink" xfId="575" builtinId="9" hidden="1"/>
    <cellStyle name="Followed Hyperlink" xfId="576" builtinId="9" hidden="1"/>
    <cellStyle name="Followed Hyperlink" xfId="577" builtinId="9" hidden="1"/>
    <cellStyle name="Followed Hyperlink" xfId="578" builtinId="9" hidden="1"/>
    <cellStyle name="Followed Hyperlink" xfId="579" builtinId="9" hidden="1"/>
    <cellStyle name="Followed Hyperlink" xfId="580" builtinId="9" hidden="1"/>
    <cellStyle name="Followed Hyperlink" xfId="581" builtinId="9" hidden="1"/>
    <cellStyle name="Followed Hyperlink" xfId="582" builtinId="9" hidden="1"/>
    <cellStyle name="Followed Hyperlink" xfId="583" builtinId="9" hidden="1"/>
    <cellStyle name="Followed Hyperlink" xfId="584" builtinId="9" hidden="1"/>
    <cellStyle name="Followed Hyperlink" xfId="585" builtinId="9" hidden="1"/>
    <cellStyle name="Followed Hyperlink" xfId="586" builtinId="9" hidden="1"/>
    <cellStyle name="Followed Hyperlink" xfId="587" builtinId="9" hidden="1"/>
    <cellStyle name="Followed Hyperlink" xfId="588" builtinId="9" hidden="1"/>
    <cellStyle name="Followed Hyperlink" xfId="589" builtinId="9" hidden="1"/>
    <cellStyle name="Followed Hyperlink" xfId="590" builtinId="9" hidden="1"/>
    <cellStyle name="Followed Hyperlink" xfId="591" builtinId="9" hidden="1"/>
    <cellStyle name="Followed Hyperlink" xfId="592" builtinId="9" hidden="1"/>
    <cellStyle name="Followed Hyperlink" xfId="593" builtinId="9" hidden="1"/>
    <cellStyle name="Followed Hyperlink" xfId="594" builtinId="9" hidden="1"/>
    <cellStyle name="Followed Hyperlink" xfId="595" builtinId="9" hidden="1"/>
    <cellStyle name="Followed Hyperlink" xfId="596" builtinId="9" hidden="1"/>
    <cellStyle name="Followed Hyperlink" xfId="597" builtinId="9" hidden="1"/>
    <cellStyle name="Followed Hyperlink" xfId="598" builtinId="9" hidden="1"/>
    <cellStyle name="Followed Hyperlink" xfId="599" builtinId="9" hidden="1"/>
    <cellStyle name="Followed Hyperlink" xfId="600" builtinId="9" hidden="1"/>
    <cellStyle name="Followed Hyperlink" xfId="601" builtinId="9" hidden="1"/>
    <cellStyle name="Followed Hyperlink" xfId="602" builtinId="9" hidden="1"/>
    <cellStyle name="Followed Hyperlink" xfId="603" builtinId="9" hidden="1"/>
    <cellStyle name="Followed Hyperlink" xfId="604" builtinId="9" hidden="1"/>
    <cellStyle name="Followed Hyperlink" xfId="605" builtinId="9" hidden="1"/>
    <cellStyle name="Followed Hyperlink" xfId="606" builtinId="9" hidden="1"/>
    <cellStyle name="Followed Hyperlink" xfId="607" builtinId="9" hidden="1"/>
    <cellStyle name="Followed Hyperlink" xfId="608" builtinId="9" hidden="1"/>
    <cellStyle name="Followed Hyperlink" xfId="609" builtinId="9" hidden="1"/>
    <cellStyle name="Followed Hyperlink" xfId="610" builtinId="9" hidden="1"/>
    <cellStyle name="Followed Hyperlink" xfId="611" builtinId="9" hidden="1"/>
    <cellStyle name="Followed Hyperlink" xfId="612" builtinId="9" hidden="1"/>
    <cellStyle name="Followed Hyperlink" xfId="613" builtinId="9" hidden="1"/>
    <cellStyle name="Followed Hyperlink" xfId="614" builtinId="9" hidden="1"/>
    <cellStyle name="Followed Hyperlink" xfId="615" builtinId="9" hidden="1"/>
    <cellStyle name="Followed Hyperlink" xfId="616" builtinId="9" hidden="1"/>
    <cellStyle name="Followed Hyperlink" xfId="617" builtinId="9" hidden="1"/>
    <cellStyle name="Followed Hyperlink" xfId="618" builtinId="9" hidden="1"/>
    <cellStyle name="Followed Hyperlink" xfId="619" builtinId="9" hidden="1"/>
    <cellStyle name="Followed Hyperlink" xfId="620" builtinId="9" hidden="1"/>
    <cellStyle name="Followed Hyperlink" xfId="621" builtinId="9" hidden="1"/>
    <cellStyle name="Followed Hyperlink" xfId="622" builtinId="9" hidden="1"/>
    <cellStyle name="Followed Hyperlink" xfId="623" builtinId="9" hidden="1"/>
    <cellStyle name="Followed Hyperlink" xfId="624" builtinId="9" hidden="1"/>
    <cellStyle name="Followed Hyperlink" xfId="625" builtinId="9" hidden="1"/>
    <cellStyle name="Followed Hyperlink" xfId="626" builtinId="9" hidden="1"/>
    <cellStyle name="Followed Hyperlink" xfId="627" builtinId="9" hidden="1"/>
    <cellStyle name="Followed Hyperlink" xfId="628" builtinId="9" hidden="1"/>
    <cellStyle name="Followed Hyperlink" xfId="629" builtinId="9" hidden="1"/>
    <cellStyle name="Followed Hyperlink" xfId="630" builtinId="9" hidden="1"/>
    <cellStyle name="Followed Hyperlink" xfId="631" builtinId="9" hidden="1"/>
    <cellStyle name="Followed Hyperlink" xfId="632" builtinId="9" hidden="1"/>
    <cellStyle name="Followed Hyperlink" xfId="633" builtinId="9" hidden="1"/>
    <cellStyle name="Followed Hyperlink" xfId="634" builtinId="9" hidden="1"/>
    <cellStyle name="Followed Hyperlink" xfId="635" builtinId="9" hidden="1"/>
    <cellStyle name="Followed Hyperlink" xfId="636" builtinId="9" hidden="1"/>
    <cellStyle name="Followed Hyperlink" xfId="637" builtinId="9" hidden="1"/>
    <cellStyle name="Followed Hyperlink" xfId="638" builtinId="9" hidden="1"/>
    <cellStyle name="Followed Hyperlink" xfId="639" builtinId="9" hidden="1"/>
    <cellStyle name="Followed Hyperlink" xfId="640" builtinId="9" hidden="1"/>
    <cellStyle name="Followed Hyperlink" xfId="641" builtinId="9" hidden="1"/>
    <cellStyle name="Followed Hyperlink" xfId="642" builtinId="9" hidden="1"/>
    <cellStyle name="Followed Hyperlink" xfId="643" builtinId="9" hidden="1"/>
    <cellStyle name="Followed Hyperlink" xfId="644" builtinId="9" hidden="1"/>
    <cellStyle name="Followed Hyperlink" xfId="645" builtinId="9" hidden="1"/>
    <cellStyle name="Followed Hyperlink" xfId="646" builtinId="9" hidden="1"/>
    <cellStyle name="Followed Hyperlink" xfId="647" builtinId="9" hidden="1"/>
    <cellStyle name="Followed Hyperlink" xfId="648" builtinId="9" hidden="1"/>
    <cellStyle name="Followed Hyperlink" xfId="649" builtinId="9" hidden="1"/>
    <cellStyle name="Followed Hyperlink" xfId="650" builtinId="9" hidden="1"/>
    <cellStyle name="Followed Hyperlink" xfId="651" builtinId="9" hidden="1"/>
    <cellStyle name="Followed Hyperlink" xfId="652" builtinId="9" hidden="1"/>
    <cellStyle name="Followed Hyperlink" xfId="653" builtinId="9" hidden="1"/>
    <cellStyle name="Followed Hyperlink" xfId="654" builtinId="9" hidden="1"/>
    <cellStyle name="Followed Hyperlink" xfId="655" builtinId="9" hidden="1"/>
    <cellStyle name="Followed Hyperlink" xfId="656" builtinId="9" hidden="1"/>
    <cellStyle name="Followed Hyperlink" xfId="657" builtinId="9" hidden="1"/>
    <cellStyle name="Followed Hyperlink" xfId="658" builtinId="9" hidden="1"/>
    <cellStyle name="Followed Hyperlink" xfId="659" builtinId="9" hidden="1"/>
    <cellStyle name="Followed Hyperlink" xfId="660" builtinId="9" hidden="1"/>
    <cellStyle name="Followed Hyperlink" xfId="661" builtinId="9" hidden="1"/>
    <cellStyle name="Followed Hyperlink" xfId="662" builtinId="9" hidden="1"/>
    <cellStyle name="Followed Hyperlink" xfId="663" builtinId="9" hidden="1"/>
    <cellStyle name="Followed Hyperlink" xfId="664" builtinId="9" hidden="1"/>
    <cellStyle name="Followed Hyperlink" xfId="665" builtinId="9" hidden="1"/>
    <cellStyle name="Followed Hyperlink" xfId="666" builtinId="9" hidden="1"/>
    <cellStyle name="Followed Hyperlink" xfId="667" builtinId="9" hidden="1"/>
    <cellStyle name="Followed Hyperlink" xfId="668" builtinId="9" hidden="1"/>
    <cellStyle name="Followed Hyperlink" xfId="669" builtinId="9" hidden="1"/>
    <cellStyle name="Followed Hyperlink" xfId="670" builtinId="9" hidden="1"/>
    <cellStyle name="Followed Hyperlink" xfId="671" builtinId="9" hidden="1"/>
    <cellStyle name="Followed Hyperlink" xfId="672" builtinId="9" hidden="1"/>
    <cellStyle name="Followed Hyperlink" xfId="673" builtinId="9" hidden="1"/>
    <cellStyle name="Followed Hyperlink" xfId="674" builtinId="9" hidden="1"/>
    <cellStyle name="Followed Hyperlink" xfId="675" builtinId="9" hidden="1"/>
    <cellStyle name="Followed Hyperlink" xfId="676" builtinId="9" hidden="1"/>
    <cellStyle name="Followed Hyperlink" xfId="677" builtinId="9" hidden="1"/>
    <cellStyle name="Followed Hyperlink" xfId="678" builtinId="9" hidden="1"/>
    <cellStyle name="Followed Hyperlink" xfId="679" builtinId="9" hidden="1"/>
    <cellStyle name="Followed Hyperlink" xfId="680" builtinId="9" hidden="1"/>
    <cellStyle name="Followed Hyperlink" xfId="681" builtinId="9" hidden="1"/>
    <cellStyle name="Followed Hyperlink" xfId="682" builtinId="9" hidden="1"/>
    <cellStyle name="Followed Hyperlink" xfId="683" builtinId="9" hidden="1"/>
    <cellStyle name="Followed Hyperlink" xfId="684" builtinId="9" hidden="1"/>
    <cellStyle name="Followed Hyperlink" xfId="685" builtinId="9" hidden="1"/>
    <cellStyle name="Followed Hyperlink" xfId="686" builtinId="9" hidden="1"/>
    <cellStyle name="Followed Hyperlink" xfId="687" builtinId="9" hidden="1"/>
    <cellStyle name="Followed Hyperlink" xfId="688" builtinId="9" hidden="1"/>
    <cellStyle name="Followed Hyperlink" xfId="689" builtinId="9" hidden="1"/>
    <cellStyle name="Followed Hyperlink" xfId="690" builtinId="9" hidden="1"/>
    <cellStyle name="Followed Hyperlink" xfId="691" builtinId="9" hidden="1"/>
    <cellStyle name="Followed Hyperlink" xfId="692" builtinId="9" hidden="1"/>
    <cellStyle name="Followed Hyperlink" xfId="693" builtinId="9" hidden="1"/>
    <cellStyle name="Followed Hyperlink" xfId="694" builtinId="9" hidden="1"/>
    <cellStyle name="Followed Hyperlink" xfId="695" builtinId="9" hidden="1"/>
    <cellStyle name="Followed Hyperlink" xfId="696" builtinId="9" hidden="1"/>
    <cellStyle name="Followed Hyperlink" xfId="697" builtinId="9" hidden="1"/>
    <cellStyle name="Followed Hyperlink" xfId="698" builtinId="9" hidden="1"/>
    <cellStyle name="Followed Hyperlink" xfId="699" builtinId="9" hidden="1"/>
    <cellStyle name="Followed Hyperlink" xfId="700" builtinId="9" hidden="1"/>
    <cellStyle name="Followed Hyperlink" xfId="701" builtinId="9" hidden="1"/>
    <cellStyle name="Followed Hyperlink" xfId="702" builtinId="9" hidden="1"/>
    <cellStyle name="Followed Hyperlink" xfId="703" builtinId="9" hidden="1"/>
    <cellStyle name="Followed Hyperlink" xfId="704" builtinId="9" hidden="1"/>
    <cellStyle name="Followed Hyperlink" xfId="705" builtinId="9" hidden="1"/>
    <cellStyle name="Followed Hyperlink" xfId="706" builtinId="9" hidden="1"/>
    <cellStyle name="Followed Hyperlink" xfId="707" builtinId="9" hidden="1"/>
    <cellStyle name="Followed Hyperlink" xfId="708" builtinId="9" hidden="1"/>
    <cellStyle name="Followed Hyperlink" xfId="709" builtinId="9" hidden="1"/>
    <cellStyle name="Followed Hyperlink" xfId="710" builtinId="9" hidden="1"/>
    <cellStyle name="Followed Hyperlink" xfId="711" builtinId="9" hidden="1"/>
    <cellStyle name="Followed Hyperlink" xfId="712" builtinId="9" hidden="1"/>
    <cellStyle name="Followed Hyperlink" xfId="713" builtinId="9" hidden="1"/>
    <cellStyle name="Followed Hyperlink" xfId="714" builtinId="9" hidden="1"/>
    <cellStyle name="Followed Hyperlink" xfId="715" builtinId="9" hidden="1"/>
    <cellStyle name="Followed Hyperlink" xfId="716" builtinId="9" hidden="1"/>
    <cellStyle name="Followed Hyperlink" xfId="717" builtinId="9" hidden="1"/>
    <cellStyle name="Followed Hyperlink" xfId="718" builtinId="9" hidden="1"/>
    <cellStyle name="Followed Hyperlink" xfId="719" builtinId="9" hidden="1"/>
    <cellStyle name="Followed Hyperlink" xfId="720" builtinId="9" hidden="1"/>
    <cellStyle name="Followed Hyperlink" xfId="721" builtinId="9" hidden="1"/>
    <cellStyle name="Followed Hyperlink" xfId="722" builtinId="9" hidden="1"/>
    <cellStyle name="Followed Hyperlink" xfId="723" builtinId="9" hidden="1"/>
    <cellStyle name="Followed Hyperlink" xfId="724" builtinId="9" hidden="1"/>
    <cellStyle name="Followed Hyperlink" xfId="725" builtinId="9" hidden="1"/>
    <cellStyle name="Followed Hyperlink" xfId="726" builtinId="9" hidden="1"/>
    <cellStyle name="Followed Hyperlink" xfId="727" builtinId="9" hidden="1"/>
    <cellStyle name="Followed Hyperlink" xfId="728" builtinId="9" hidden="1"/>
    <cellStyle name="Followed Hyperlink" xfId="729" builtinId="9" hidden="1"/>
    <cellStyle name="Followed Hyperlink" xfId="730" builtinId="9" hidden="1"/>
    <cellStyle name="Followed Hyperlink" xfId="731" builtinId="9" hidden="1"/>
    <cellStyle name="Followed Hyperlink" xfId="732" builtinId="9" hidden="1"/>
    <cellStyle name="Followed Hyperlink" xfId="733" builtinId="9" hidden="1"/>
    <cellStyle name="Followed Hyperlink" xfId="734" builtinId="9" hidden="1"/>
    <cellStyle name="Followed Hyperlink" xfId="735" builtinId="9" hidden="1"/>
    <cellStyle name="Followed Hyperlink" xfId="736" builtinId="9" hidden="1"/>
    <cellStyle name="Followed Hyperlink" xfId="737" builtinId="9" hidden="1"/>
    <cellStyle name="Followed Hyperlink" xfId="738" builtinId="9" hidden="1"/>
    <cellStyle name="Followed Hyperlink" xfId="739" builtinId="9" hidden="1"/>
    <cellStyle name="Followed Hyperlink" xfId="740" builtinId="9" hidden="1"/>
    <cellStyle name="Followed Hyperlink" xfId="741" builtinId="9" hidden="1"/>
    <cellStyle name="Followed Hyperlink" xfId="742" builtinId="9" hidden="1"/>
    <cellStyle name="Followed Hyperlink" xfId="743" builtinId="9" hidden="1"/>
    <cellStyle name="Followed Hyperlink" xfId="744" builtinId="9" hidden="1"/>
    <cellStyle name="Followed Hyperlink" xfId="745" builtinId="9" hidden="1"/>
    <cellStyle name="Followed Hyperlink" xfId="746" builtinId="9" hidden="1"/>
    <cellStyle name="Followed Hyperlink" xfId="747" builtinId="9" hidden="1"/>
    <cellStyle name="Followed Hyperlink" xfId="748" builtinId="9" hidden="1"/>
    <cellStyle name="Followed Hyperlink" xfId="749" builtinId="9" hidden="1"/>
    <cellStyle name="Followed Hyperlink" xfId="750" builtinId="9" hidden="1"/>
    <cellStyle name="Followed Hyperlink" xfId="751" builtinId="9" hidden="1"/>
    <cellStyle name="Followed Hyperlink" xfId="752" builtinId="9" hidden="1"/>
    <cellStyle name="Followed Hyperlink" xfId="753" builtinId="9" hidden="1"/>
    <cellStyle name="Followed Hyperlink" xfId="754" builtinId="9" hidden="1"/>
    <cellStyle name="Followed Hyperlink" xfId="755" builtinId="9" hidden="1"/>
    <cellStyle name="Followed Hyperlink" xfId="756" builtinId="9" hidden="1"/>
    <cellStyle name="Followed Hyperlink" xfId="757" builtinId="9" hidden="1"/>
    <cellStyle name="Followed Hyperlink" xfId="758" builtinId="9" hidden="1"/>
    <cellStyle name="Followed Hyperlink" xfId="759" builtinId="9" hidden="1"/>
    <cellStyle name="Followed Hyperlink" xfId="760" builtinId="9" hidden="1"/>
    <cellStyle name="Followed Hyperlink" xfId="761" builtinId="9" hidden="1"/>
    <cellStyle name="Followed Hyperlink" xfId="762" builtinId="9" hidden="1"/>
    <cellStyle name="Followed Hyperlink" xfId="763" builtinId="9" hidden="1"/>
    <cellStyle name="Followed Hyperlink" xfId="764" builtinId="9" hidden="1"/>
    <cellStyle name="Followed Hyperlink" xfId="765" builtinId="9" hidden="1"/>
    <cellStyle name="Followed Hyperlink" xfId="766" builtinId="9" hidden="1"/>
    <cellStyle name="Followed Hyperlink" xfId="767" builtinId="9" hidden="1"/>
    <cellStyle name="Followed Hyperlink" xfId="768" builtinId="9" hidden="1"/>
    <cellStyle name="Followed Hyperlink" xfId="769" builtinId="9" hidden="1"/>
    <cellStyle name="Followed Hyperlink" xfId="770" builtinId="9" hidden="1"/>
    <cellStyle name="Followed Hyperlink" xfId="771" builtinId="9" hidden="1"/>
    <cellStyle name="Followed Hyperlink" xfId="772" builtinId="9" hidden="1"/>
    <cellStyle name="Followed Hyperlink" xfId="773" builtinId="9" hidden="1"/>
    <cellStyle name="Followed Hyperlink" xfId="774" builtinId="9" hidden="1"/>
    <cellStyle name="Followed Hyperlink" xfId="775" builtinId="9" hidden="1"/>
    <cellStyle name="Followed Hyperlink" xfId="776" builtinId="9" hidden="1"/>
    <cellStyle name="Followed Hyperlink" xfId="777" builtinId="9" hidden="1"/>
    <cellStyle name="Followed Hyperlink" xfId="778" builtinId="9" hidden="1"/>
    <cellStyle name="Followed Hyperlink" xfId="779" builtinId="9" hidden="1"/>
    <cellStyle name="Followed Hyperlink" xfId="780" builtinId="9" hidden="1"/>
    <cellStyle name="Followed Hyperlink" xfId="781" builtinId="9" hidden="1"/>
    <cellStyle name="Followed Hyperlink" xfId="782" builtinId="9" hidden="1"/>
    <cellStyle name="Followed Hyperlink" xfId="783" builtinId="9" hidden="1"/>
    <cellStyle name="Followed Hyperlink" xfId="784" builtinId="9" hidden="1"/>
    <cellStyle name="Followed Hyperlink" xfId="785" builtinId="9" hidden="1"/>
    <cellStyle name="Followed Hyperlink" xfId="786" builtinId="9" hidden="1"/>
    <cellStyle name="Followed Hyperlink" xfId="787" builtinId="9" hidden="1"/>
    <cellStyle name="Followed Hyperlink" xfId="788" builtinId="9" hidden="1"/>
    <cellStyle name="Followed Hyperlink" xfId="789" builtinId="9" hidden="1"/>
    <cellStyle name="Followed Hyperlink" xfId="790" builtinId="9" hidden="1"/>
    <cellStyle name="Followed Hyperlink" xfId="791" builtinId="9" hidden="1"/>
    <cellStyle name="Followed Hyperlink" xfId="792" builtinId="9" hidden="1"/>
    <cellStyle name="Followed Hyperlink" xfId="793" builtinId="9" hidden="1"/>
    <cellStyle name="Followed Hyperlink" xfId="794" builtinId="9" hidden="1"/>
    <cellStyle name="Followed Hyperlink" xfId="795" builtinId="9" hidden="1"/>
    <cellStyle name="Followed Hyperlink" xfId="796" builtinId="9" hidden="1"/>
    <cellStyle name="Followed Hyperlink" xfId="797" builtinId="9" hidden="1"/>
    <cellStyle name="Followed Hyperlink" xfId="798" builtinId="9" hidden="1"/>
    <cellStyle name="Followed Hyperlink" xfId="799" builtinId="9" hidden="1"/>
    <cellStyle name="Followed Hyperlink" xfId="800" builtinId="9" hidden="1"/>
    <cellStyle name="Followed Hyperlink" xfId="801" builtinId="9" hidden="1"/>
    <cellStyle name="Followed Hyperlink" xfId="802" builtinId="9" hidden="1"/>
    <cellStyle name="Followed Hyperlink" xfId="803" builtinId="9" hidden="1"/>
    <cellStyle name="Followed Hyperlink" xfId="804" builtinId="9" hidden="1"/>
    <cellStyle name="Followed Hyperlink" xfId="805" builtinId="9" hidden="1"/>
    <cellStyle name="Followed Hyperlink" xfId="806" builtinId="9" hidden="1"/>
    <cellStyle name="Followed Hyperlink" xfId="807" builtinId="9" hidden="1"/>
    <cellStyle name="Followed Hyperlink" xfId="808" builtinId="9" hidden="1"/>
    <cellStyle name="Followed Hyperlink" xfId="809" builtinId="9" hidden="1"/>
    <cellStyle name="Followed Hyperlink" xfId="810" builtinId="9" hidden="1"/>
    <cellStyle name="Followed Hyperlink" xfId="811" builtinId="9" hidden="1"/>
    <cellStyle name="Followed Hyperlink" xfId="812" builtinId="9" hidden="1"/>
    <cellStyle name="Followed Hyperlink" xfId="813" builtinId="9" hidden="1"/>
    <cellStyle name="Followed Hyperlink" xfId="814" builtinId="9" hidden="1"/>
    <cellStyle name="Followed Hyperlink" xfId="815" builtinId="9" hidden="1"/>
    <cellStyle name="Followed Hyperlink" xfId="816" builtinId="9" hidden="1"/>
    <cellStyle name="Followed Hyperlink" xfId="817" builtinId="9" hidden="1"/>
    <cellStyle name="Followed Hyperlink" xfId="818" builtinId="9" hidden="1"/>
    <cellStyle name="Followed Hyperlink" xfId="819" builtinId="9" hidden="1"/>
    <cellStyle name="Followed Hyperlink" xfId="820" builtinId="9" hidden="1"/>
    <cellStyle name="Followed Hyperlink" xfId="821" builtinId="9" hidden="1"/>
    <cellStyle name="Followed Hyperlink" xfId="822" builtinId="9" hidden="1"/>
    <cellStyle name="Followed Hyperlink" xfId="823" builtinId="9" hidden="1"/>
    <cellStyle name="Followed Hyperlink" xfId="824" builtinId="9" hidden="1"/>
    <cellStyle name="Followed Hyperlink" xfId="825" builtinId="9" hidden="1"/>
    <cellStyle name="Followed Hyperlink" xfId="826" builtinId="9" hidden="1"/>
    <cellStyle name="Followed Hyperlink" xfId="827" builtinId="9" hidden="1"/>
    <cellStyle name="Followed Hyperlink" xfId="828" builtinId="9" hidden="1"/>
    <cellStyle name="Followed Hyperlink" xfId="829" builtinId="9" hidden="1"/>
    <cellStyle name="Followed Hyperlink" xfId="830" builtinId="9" hidden="1"/>
    <cellStyle name="Followed Hyperlink" xfId="831" builtinId="9" hidden="1"/>
    <cellStyle name="Followed Hyperlink" xfId="832" builtinId="9" hidden="1"/>
    <cellStyle name="Followed Hyperlink" xfId="833" builtinId="9" hidden="1"/>
    <cellStyle name="Followed Hyperlink" xfId="834" builtinId="9" hidden="1"/>
    <cellStyle name="Followed Hyperlink" xfId="835" builtinId="9" hidden="1"/>
    <cellStyle name="Followed Hyperlink" xfId="836" builtinId="9" hidden="1"/>
    <cellStyle name="Followed Hyperlink" xfId="837" builtinId="9" hidden="1"/>
    <cellStyle name="Followed Hyperlink" xfId="838" builtinId="9" hidden="1"/>
    <cellStyle name="Followed Hyperlink" xfId="839" builtinId="9" hidden="1"/>
    <cellStyle name="Followed Hyperlink" xfId="840" builtinId="9" hidden="1"/>
    <cellStyle name="Followed Hyperlink" xfId="841" builtinId="9" hidden="1"/>
    <cellStyle name="Followed Hyperlink" xfId="842" builtinId="9" hidden="1"/>
    <cellStyle name="Followed Hyperlink" xfId="843" builtinId="9" hidden="1"/>
    <cellStyle name="Followed Hyperlink" xfId="844" builtinId="9" hidden="1"/>
    <cellStyle name="Followed Hyperlink" xfId="845" builtinId="9" hidden="1"/>
    <cellStyle name="Followed Hyperlink" xfId="846" builtinId="9" hidden="1"/>
    <cellStyle name="Followed Hyperlink" xfId="847" builtinId="9" hidden="1"/>
    <cellStyle name="Followed Hyperlink" xfId="848" builtinId="9" hidden="1"/>
    <cellStyle name="Followed Hyperlink" xfId="849" builtinId="9" hidden="1"/>
    <cellStyle name="Followed Hyperlink" xfId="850" builtinId="9" hidden="1"/>
    <cellStyle name="Followed Hyperlink" xfId="851" builtinId="9" hidden="1"/>
    <cellStyle name="Followed Hyperlink" xfId="852" builtinId="9" hidden="1"/>
    <cellStyle name="Followed Hyperlink" xfId="853" builtinId="9" hidden="1"/>
    <cellStyle name="Followed Hyperlink" xfId="854" builtinId="9" hidden="1"/>
    <cellStyle name="Followed Hyperlink" xfId="855" builtinId="9" hidden="1"/>
    <cellStyle name="Followed Hyperlink" xfId="856" builtinId="9" hidden="1"/>
    <cellStyle name="Followed Hyperlink" xfId="857" builtinId="9" hidden="1"/>
    <cellStyle name="Followed Hyperlink" xfId="858" builtinId="9" hidden="1"/>
    <cellStyle name="Followed Hyperlink" xfId="859" builtinId="9" hidden="1"/>
    <cellStyle name="Followed Hyperlink" xfId="860" builtinId="9" hidden="1"/>
    <cellStyle name="Followed Hyperlink" xfId="861" builtinId="9" hidden="1"/>
    <cellStyle name="Followed Hyperlink" xfId="862" builtinId="9" hidden="1"/>
    <cellStyle name="Followed Hyperlink" xfId="863" builtinId="9" hidden="1"/>
    <cellStyle name="Followed Hyperlink" xfId="864" builtinId="9" hidden="1"/>
    <cellStyle name="Followed Hyperlink" xfId="865" builtinId="9" hidden="1"/>
    <cellStyle name="Followed Hyperlink" xfId="866" builtinId="9" hidden="1"/>
    <cellStyle name="Followed Hyperlink" xfId="867" builtinId="9" hidden="1"/>
    <cellStyle name="Followed Hyperlink" xfId="868" builtinId="9" hidden="1"/>
    <cellStyle name="Followed Hyperlink" xfId="869" builtinId="9" hidden="1"/>
    <cellStyle name="Followed Hyperlink" xfId="870" builtinId="9" hidden="1"/>
    <cellStyle name="Followed Hyperlink" xfId="871" builtinId="9" hidden="1"/>
    <cellStyle name="Followed Hyperlink" xfId="872" builtinId="9" hidden="1"/>
    <cellStyle name="Followed Hyperlink" xfId="873" builtinId="9" hidden="1"/>
    <cellStyle name="Followed Hyperlink" xfId="874" builtinId="9" hidden="1"/>
    <cellStyle name="Followed Hyperlink" xfId="875" builtinId="9" hidden="1"/>
    <cellStyle name="Followed Hyperlink" xfId="876" builtinId="9" hidden="1"/>
    <cellStyle name="Followed Hyperlink" xfId="877" builtinId="9" hidden="1"/>
    <cellStyle name="Followed Hyperlink" xfId="878" builtinId="9" hidden="1"/>
    <cellStyle name="Followed Hyperlink" xfId="879" builtinId="9" hidden="1"/>
    <cellStyle name="Followed Hyperlink" xfId="880" builtinId="9" hidden="1"/>
    <cellStyle name="Followed Hyperlink" xfId="881" builtinId="9" hidden="1"/>
    <cellStyle name="Followed Hyperlink" xfId="882" builtinId="9" hidden="1"/>
    <cellStyle name="Followed Hyperlink" xfId="883" builtinId="9" hidden="1"/>
    <cellStyle name="Followed Hyperlink" xfId="884" builtinId="9" hidden="1"/>
    <cellStyle name="Followed Hyperlink" xfId="885" builtinId="9" hidden="1"/>
    <cellStyle name="Followed Hyperlink" xfId="886" builtinId="9" hidden="1"/>
    <cellStyle name="Followed Hyperlink" xfId="887" builtinId="9" hidden="1"/>
    <cellStyle name="Followed Hyperlink" xfId="888" builtinId="9" hidden="1"/>
    <cellStyle name="Followed Hyperlink" xfId="889" builtinId="9" hidden="1"/>
    <cellStyle name="Followed Hyperlink" xfId="890" builtinId="9" hidden="1"/>
    <cellStyle name="Followed Hyperlink" xfId="891" builtinId="9" hidden="1"/>
    <cellStyle name="Followed Hyperlink" xfId="892" builtinId="9" hidden="1"/>
    <cellStyle name="Followed Hyperlink" xfId="893" builtinId="9" hidden="1"/>
    <cellStyle name="Followed Hyperlink" xfId="894" builtinId="9" hidden="1"/>
    <cellStyle name="Followed Hyperlink" xfId="895" builtinId="9" hidden="1"/>
    <cellStyle name="Followed Hyperlink" xfId="896" builtinId="9" hidden="1"/>
    <cellStyle name="Followed Hyperlink" xfId="897" builtinId="9" hidden="1"/>
    <cellStyle name="Followed Hyperlink" xfId="898" builtinId="9" hidden="1"/>
    <cellStyle name="Followed Hyperlink" xfId="899" builtinId="9" hidden="1"/>
    <cellStyle name="Followed Hyperlink" xfId="900" builtinId="9" hidden="1"/>
    <cellStyle name="Followed Hyperlink" xfId="901" builtinId="9" hidden="1"/>
    <cellStyle name="Followed Hyperlink" xfId="902" builtinId="9" hidden="1"/>
    <cellStyle name="Followed Hyperlink" xfId="903" builtinId="9" hidden="1"/>
    <cellStyle name="Followed Hyperlink" xfId="904" builtinId="9" hidden="1"/>
    <cellStyle name="Followed Hyperlink" xfId="905" builtinId="9" hidden="1"/>
    <cellStyle name="Followed Hyperlink" xfId="906" builtinId="9" hidden="1"/>
    <cellStyle name="Followed Hyperlink" xfId="907" builtinId="9" hidden="1"/>
    <cellStyle name="Followed Hyperlink" xfId="908" builtinId="9" hidden="1"/>
    <cellStyle name="Followed Hyperlink" xfId="909" builtinId="9" hidden="1"/>
    <cellStyle name="Followed Hyperlink" xfId="910" builtinId="9" hidden="1"/>
    <cellStyle name="Followed Hyperlink" xfId="911" builtinId="9" hidden="1"/>
    <cellStyle name="Followed Hyperlink" xfId="912" builtinId="9" hidden="1"/>
    <cellStyle name="Followed Hyperlink" xfId="913" builtinId="9" hidden="1"/>
    <cellStyle name="Followed Hyperlink" xfId="914" builtinId="9" hidden="1"/>
    <cellStyle name="Followed Hyperlink" xfId="915" builtinId="9" hidden="1"/>
    <cellStyle name="Followed Hyperlink" xfId="916" builtinId="9" hidden="1"/>
    <cellStyle name="Followed Hyperlink" xfId="917" builtinId="9" hidden="1"/>
    <cellStyle name="Followed Hyperlink" xfId="918" builtinId="9" hidden="1"/>
    <cellStyle name="Followed Hyperlink" xfId="919" builtinId="9" hidden="1"/>
    <cellStyle name="Followed Hyperlink" xfId="920" builtinId="9" hidden="1"/>
    <cellStyle name="Followed Hyperlink" xfId="921" builtinId="9" hidden="1"/>
    <cellStyle name="Followed Hyperlink" xfId="922" builtinId="9" hidden="1"/>
    <cellStyle name="Followed Hyperlink" xfId="923" builtinId="9" hidden="1"/>
    <cellStyle name="Followed Hyperlink" xfId="924" builtinId="9" hidden="1"/>
    <cellStyle name="Followed Hyperlink" xfId="925" builtinId="9" hidden="1"/>
    <cellStyle name="Followed Hyperlink" xfId="926" builtinId="9" hidden="1"/>
    <cellStyle name="Followed Hyperlink" xfId="927" builtinId="9" hidden="1"/>
    <cellStyle name="Followed Hyperlink" xfId="928" builtinId="9" hidden="1"/>
    <cellStyle name="Followed Hyperlink" xfId="929" builtinId="9" hidden="1"/>
    <cellStyle name="Followed Hyperlink" xfId="930" builtinId="9" hidden="1"/>
    <cellStyle name="Followed Hyperlink" xfId="931" builtinId="9" hidden="1"/>
    <cellStyle name="Followed Hyperlink" xfId="932" builtinId="9" hidden="1"/>
    <cellStyle name="Followed Hyperlink" xfId="933" builtinId="9" hidden="1"/>
    <cellStyle name="Followed Hyperlink" xfId="934" builtinId="9" hidden="1"/>
    <cellStyle name="Followed Hyperlink" xfId="935" builtinId="9" hidden="1"/>
    <cellStyle name="Followed Hyperlink" xfId="936" builtinId="9" hidden="1"/>
    <cellStyle name="Followed Hyperlink" xfId="937" builtinId="9" hidden="1"/>
    <cellStyle name="Followed Hyperlink" xfId="938" builtinId="9" hidden="1"/>
    <cellStyle name="Followed Hyperlink" xfId="939" builtinId="9" hidden="1"/>
    <cellStyle name="Followed Hyperlink" xfId="940" builtinId="9" hidden="1"/>
    <cellStyle name="Followed Hyperlink" xfId="941" builtinId="9" hidden="1"/>
    <cellStyle name="Followed Hyperlink" xfId="942" builtinId="9" hidden="1"/>
    <cellStyle name="Followed Hyperlink" xfId="943" builtinId="9" hidden="1"/>
    <cellStyle name="Followed Hyperlink" xfId="944" builtinId="9" hidden="1"/>
    <cellStyle name="Followed Hyperlink" xfId="945" builtinId="9" hidden="1"/>
    <cellStyle name="Followed Hyperlink" xfId="946" builtinId="9" hidden="1"/>
    <cellStyle name="Followed Hyperlink" xfId="947" builtinId="9" hidden="1"/>
    <cellStyle name="Followed Hyperlink" xfId="948" builtinId="9" hidden="1"/>
    <cellStyle name="Followed Hyperlink" xfId="949" builtinId="9" hidden="1"/>
    <cellStyle name="Followed Hyperlink" xfId="950" builtinId="9" hidden="1"/>
    <cellStyle name="Followed Hyperlink" xfId="951" builtinId="9" hidden="1"/>
    <cellStyle name="Followed Hyperlink" xfId="952" builtinId="9" hidden="1"/>
    <cellStyle name="Followed Hyperlink" xfId="953" builtinId="9" hidden="1"/>
    <cellStyle name="Followed Hyperlink" xfId="954" builtinId="9" hidden="1"/>
    <cellStyle name="Followed Hyperlink" xfId="955" builtinId="9" hidden="1"/>
    <cellStyle name="Followed Hyperlink" xfId="956" builtinId="9" hidden="1"/>
    <cellStyle name="Followed Hyperlink" xfId="957" builtinId="9" hidden="1"/>
    <cellStyle name="Followed Hyperlink" xfId="958" builtinId="9" hidden="1"/>
    <cellStyle name="Followed Hyperlink" xfId="959" builtinId="9" hidden="1"/>
    <cellStyle name="Followed Hyperlink" xfId="960" builtinId="9" hidden="1"/>
    <cellStyle name="Followed Hyperlink" xfId="961" builtinId="9" hidden="1"/>
    <cellStyle name="Followed Hyperlink" xfId="962" builtinId="9" hidden="1"/>
    <cellStyle name="Followed Hyperlink" xfId="963" builtinId="9" hidden="1"/>
    <cellStyle name="Followed Hyperlink" xfId="964" builtinId="9" hidden="1"/>
    <cellStyle name="Followed Hyperlink" xfId="965" builtinId="9" hidden="1"/>
    <cellStyle name="Followed Hyperlink" xfId="966" builtinId="9" hidden="1"/>
    <cellStyle name="Followed Hyperlink" xfId="967" builtinId="9" hidden="1"/>
    <cellStyle name="Followed Hyperlink" xfId="968" builtinId="9" hidden="1"/>
    <cellStyle name="Followed Hyperlink" xfId="969" builtinId="9" hidden="1"/>
    <cellStyle name="Followed Hyperlink" xfId="970" builtinId="9" hidden="1"/>
    <cellStyle name="Followed Hyperlink" xfId="971" builtinId="9" hidden="1"/>
    <cellStyle name="Followed Hyperlink" xfId="972" builtinId="9" hidden="1"/>
    <cellStyle name="Followed Hyperlink" xfId="973" builtinId="9" hidden="1"/>
    <cellStyle name="Followed Hyperlink" xfId="974" builtinId="9" hidden="1"/>
    <cellStyle name="Followed Hyperlink" xfId="975" builtinId="9" hidden="1"/>
    <cellStyle name="Followed Hyperlink" xfId="976" builtinId="9" hidden="1"/>
    <cellStyle name="Followed Hyperlink" xfId="977" builtinId="9" hidden="1"/>
    <cellStyle name="Followed Hyperlink" xfId="978" builtinId="9" hidden="1"/>
    <cellStyle name="Followed Hyperlink" xfId="979" builtinId="9" hidden="1"/>
    <cellStyle name="Followed Hyperlink" xfId="980" builtinId="9" hidden="1"/>
    <cellStyle name="Followed Hyperlink" xfId="981" builtinId="9" hidden="1"/>
    <cellStyle name="Followed Hyperlink" xfId="982" builtinId="9" hidden="1"/>
    <cellStyle name="Followed Hyperlink" xfId="983" builtinId="9" hidden="1"/>
    <cellStyle name="Followed Hyperlink" xfId="984" builtinId="9" hidden="1"/>
    <cellStyle name="Followed Hyperlink" xfId="985" builtinId="9" hidden="1"/>
    <cellStyle name="Followed Hyperlink" xfId="986" builtinId="9" hidden="1"/>
    <cellStyle name="Followed Hyperlink" xfId="987" builtinId="9" hidden="1"/>
    <cellStyle name="Followed Hyperlink" xfId="988" builtinId="9" hidden="1"/>
    <cellStyle name="Followed Hyperlink" xfId="989" builtinId="9" hidden="1"/>
    <cellStyle name="Followed Hyperlink" xfId="990" builtinId="9" hidden="1"/>
    <cellStyle name="Followed Hyperlink" xfId="991" builtinId="9" hidden="1"/>
    <cellStyle name="Followed Hyperlink" xfId="992" builtinId="9" hidden="1"/>
    <cellStyle name="Followed Hyperlink" xfId="993" builtinId="9" hidden="1"/>
    <cellStyle name="Followed Hyperlink" xfId="994" builtinId="9" hidden="1"/>
    <cellStyle name="Followed Hyperlink" xfId="995" builtinId="9" hidden="1"/>
    <cellStyle name="Followed Hyperlink" xfId="996" builtinId="9" hidden="1"/>
    <cellStyle name="Followed Hyperlink" xfId="997" builtinId="9" hidden="1"/>
    <cellStyle name="Followed Hyperlink" xfId="998" builtinId="9" hidden="1"/>
    <cellStyle name="Followed Hyperlink" xfId="999" builtinId="9" hidden="1"/>
    <cellStyle name="Followed Hyperlink" xfId="1000" builtinId="9" hidden="1"/>
    <cellStyle name="Followed Hyperlink" xfId="1001" builtinId="9" hidden="1"/>
    <cellStyle name="Followed Hyperlink" xfId="1002" builtinId="9" hidden="1"/>
    <cellStyle name="Followed Hyperlink" xfId="1003" builtinId="9" hidden="1"/>
    <cellStyle name="Followed Hyperlink" xfId="1004" builtinId="9" hidden="1"/>
    <cellStyle name="Followed Hyperlink" xfId="1005" builtinId="9" hidden="1"/>
    <cellStyle name="Followed Hyperlink" xfId="1006" builtinId="9" hidden="1"/>
    <cellStyle name="Followed Hyperlink" xfId="1007" builtinId="9" hidden="1"/>
    <cellStyle name="Followed Hyperlink" xfId="1008" builtinId="9" hidden="1"/>
    <cellStyle name="Followed Hyperlink" xfId="1009" builtinId="9" hidden="1"/>
    <cellStyle name="Followed Hyperlink" xfId="1010" builtinId="9" hidden="1"/>
    <cellStyle name="Followed Hyperlink" xfId="1011" builtinId="9" hidden="1"/>
    <cellStyle name="Followed Hyperlink" xfId="1012" builtinId="9" hidden="1"/>
    <cellStyle name="Followed Hyperlink" xfId="1013" builtinId="9" hidden="1"/>
    <cellStyle name="Followed Hyperlink" xfId="1014" builtinId="9" hidden="1"/>
    <cellStyle name="Followed Hyperlink" xfId="1015" builtinId="9" hidden="1"/>
    <cellStyle name="Followed Hyperlink" xfId="1016" builtinId="9" hidden="1"/>
    <cellStyle name="Followed Hyperlink" xfId="1017" builtinId="9" hidden="1"/>
    <cellStyle name="Followed Hyperlink" xfId="1018" builtinId="9" hidden="1"/>
    <cellStyle name="Followed Hyperlink" xfId="1019" builtinId="9" hidden="1"/>
    <cellStyle name="Followed Hyperlink" xfId="1020" builtinId="9" hidden="1"/>
    <cellStyle name="Followed Hyperlink" xfId="1021" builtinId="9" hidden="1"/>
    <cellStyle name="Followed Hyperlink" xfId="1022" builtinId="9" hidden="1"/>
    <cellStyle name="Followed Hyperlink" xfId="1023" builtinId="9" hidden="1"/>
    <cellStyle name="Followed Hyperlink" xfId="1024" builtinId="9" hidden="1"/>
    <cellStyle name="Followed Hyperlink" xfId="1025" builtinId="9" hidden="1"/>
    <cellStyle name="Followed Hyperlink" xfId="1026" builtinId="9" hidden="1"/>
    <cellStyle name="Followed Hyperlink" xfId="1027" builtinId="9" hidden="1"/>
    <cellStyle name="Followed Hyperlink" xfId="1028" builtinId="9" hidden="1"/>
    <cellStyle name="Followed Hyperlink" xfId="1029" builtinId="9" hidden="1"/>
    <cellStyle name="Followed Hyperlink" xfId="1030" builtinId="9" hidden="1"/>
    <cellStyle name="Followed Hyperlink" xfId="1031" builtinId="9" hidden="1"/>
    <cellStyle name="Followed Hyperlink" xfId="1032" builtinId="9" hidden="1"/>
    <cellStyle name="Followed Hyperlink" xfId="1033" builtinId="9" hidden="1"/>
    <cellStyle name="Followed Hyperlink" xfId="1034" builtinId="9" hidden="1"/>
    <cellStyle name="Followed Hyperlink" xfId="1035" builtinId="9" hidden="1"/>
    <cellStyle name="Followed Hyperlink" xfId="1036" builtinId="9" hidden="1"/>
    <cellStyle name="Followed Hyperlink" xfId="1037" builtinId="9" hidden="1"/>
    <cellStyle name="Followed Hyperlink" xfId="1038" builtinId="9" hidden="1"/>
    <cellStyle name="Followed Hyperlink" xfId="1039" builtinId="9" hidden="1"/>
    <cellStyle name="Followed Hyperlink" xfId="1040" builtinId="9" hidden="1"/>
    <cellStyle name="Followed Hyperlink" xfId="1041" builtinId="9" hidden="1"/>
    <cellStyle name="Followed Hyperlink" xfId="1042" builtinId="9" hidden="1"/>
    <cellStyle name="Followed Hyperlink" xfId="1043" builtinId="9" hidden="1"/>
    <cellStyle name="Followed Hyperlink" xfId="1044" builtinId="9" hidden="1"/>
    <cellStyle name="Followed Hyperlink" xfId="1045" builtinId="9" hidden="1"/>
    <cellStyle name="Followed Hyperlink" xfId="1046" builtinId="9" hidden="1"/>
    <cellStyle name="Followed Hyperlink" xfId="1047" builtinId="9" hidden="1"/>
    <cellStyle name="Followed Hyperlink" xfId="1048" builtinId="9" hidden="1"/>
    <cellStyle name="Followed Hyperlink" xfId="1049" builtinId="9" hidden="1"/>
    <cellStyle name="Followed Hyperlink" xfId="1050" builtinId="9" hidden="1"/>
    <cellStyle name="Followed Hyperlink" xfId="1051" builtinId="9" hidden="1"/>
    <cellStyle name="Followed Hyperlink" xfId="1052" builtinId="9" hidden="1"/>
    <cellStyle name="Followed Hyperlink" xfId="1053" builtinId="9" hidden="1"/>
    <cellStyle name="Followed Hyperlink" xfId="1054" builtinId="9" hidden="1"/>
    <cellStyle name="Followed Hyperlink" xfId="1055" builtinId="9" hidden="1"/>
    <cellStyle name="Followed Hyperlink" xfId="1056" builtinId="9" hidden="1"/>
    <cellStyle name="Followed Hyperlink" xfId="1057" builtinId="9" hidden="1"/>
    <cellStyle name="Followed Hyperlink" xfId="1058" builtinId="9" hidden="1"/>
    <cellStyle name="Followed Hyperlink" xfId="1059" builtinId="9" hidden="1"/>
    <cellStyle name="Followed Hyperlink" xfId="1060" builtinId="9" hidden="1"/>
    <cellStyle name="Followed Hyperlink" xfId="1061" builtinId="9" hidden="1"/>
    <cellStyle name="Followed Hyperlink" xfId="1062" builtinId="9" hidden="1"/>
    <cellStyle name="Followed Hyperlink" xfId="1063" builtinId="9" hidden="1"/>
    <cellStyle name="Followed Hyperlink" xfId="1064" builtinId="9" hidden="1"/>
    <cellStyle name="Followed Hyperlink" xfId="1065" builtinId="9" hidden="1"/>
    <cellStyle name="Followed Hyperlink" xfId="1066" builtinId="9" hidden="1"/>
    <cellStyle name="Followed Hyperlink" xfId="1067" builtinId="9" hidden="1"/>
    <cellStyle name="Followed Hyperlink" xfId="1068" builtinId="9" hidden="1"/>
    <cellStyle name="Followed Hyperlink" xfId="1069" builtinId="9" hidden="1"/>
    <cellStyle name="Followed Hyperlink" xfId="1070" builtinId="9" hidden="1"/>
    <cellStyle name="Followed Hyperlink" xfId="1071" builtinId="9" hidden="1"/>
    <cellStyle name="Followed Hyperlink" xfId="1072" builtinId="9" hidden="1"/>
    <cellStyle name="Followed Hyperlink" xfId="1073" builtinId="9" hidden="1"/>
    <cellStyle name="Followed Hyperlink" xfId="1074" builtinId="9" hidden="1"/>
    <cellStyle name="Followed Hyperlink" xfId="1075" builtinId="9" hidden="1"/>
    <cellStyle name="Followed Hyperlink" xfId="1076" builtinId="9" hidden="1"/>
    <cellStyle name="Followed Hyperlink" xfId="1077" builtinId="9" hidden="1"/>
    <cellStyle name="Followed Hyperlink" xfId="1078" builtinId="9" hidden="1"/>
    <cellStyle name="Followed Hyperlink" xfId="1079" builtinId="9" hidden="1"/>
    <cellStyle name="Followed Hyperlink" xfId="1080" builtinId="9" hidden="1"/>
    <cellStyle name="Followed Hyperlink" xfId="1081" builtinId="9" hidden="1"/>
    <cellStyle name="Followed Hyperlink" xfId="1082" builtinId="9" hidden="1"/>
    <cellStyle name="Followed Hyperlink" xfId="1083" builtinId="9" hidden="1"/>
    <cellStyle name="Followed Hyperlink" xfId="1084" builtinId="9" hidden="1"/>
    <cellStyle name="Followed Hyperlink" xfId="1085" builtinId="9" hidden="1"/>
    <cellStyle name="Followed Hyperlink" xfId="1086" builtinId="9" hidden="1"/>
    <cellStyle name="Followed Hyperlink" xfId="1087" builtinId="9" hidden="1"/>
    <cellStyle name="Followed Hyperlink" xfId="1088" builtinId="9" hidden="1"/>
    <cellStyle name="Followed Hyperlink" xfId="1089" builtinId="9" hidden="1"/>
    <cellStyle name="Followed Hyperlink" xfId="1090" builtinId="9" hidden="1"/>
    <cellStyle name="Followed Hyperlink" xfId="1091" builtinId="9" hidden="1"/>
    <cellStyle name="Followed Hyperlink" xfId="1092" builtinId="9" hidden="1"/>
    <cellStyle name="Followed Hyperlink" xfId="1093" builtinId="9" hidden="1"/>
    <cellStyle name="Followed Hyperlink" xfId="1094" builtinId="9" hidden="1"/>
    <cellStyle name="Followed Hyperlink" xfId="1095" builtinId="9" hidden="1"/>
    <cellStyle name="Followed Hyperlink" xfId="1096" builtinId="9" hidden="1"/>
    <cellStyle name="Followed Hyperlink" xfId="1097" builtinId="9" hidden="1"/>
    <cellStyle name="Followed Hyperlink" xfId="1098" builtinId="9" hidden="1"/>
    <cellStyle name="Followed Hyperlink" xfId="1099" builtinId="9" hidden="1"/>
    <cellStyle name="Followed Hyperlink" xfId="1100" builtinId="9" hidden="1"/>
    <cellStyle name="Followed Hyperlink" xfId="1101" builtinId="9" hidden="1"/>
    <cellStyle name="Followed Hyperlink" xfId="1102" builtinId="9" hidden="1"/>
    <cellStyle name="Followed Hyperlink" xfId="1103" builtinId="9" hidden="1"/>
    <cellStyle name="Followed Hyperlink" xfId="1104" builtinId="9" hidden="1"/>
    <cellStyle name="Followed Hyperlink" xfId="1105" builtinId="9" hidden="1"/>
    <cellStyle name="Followed Hyperlink" xfId="1106" builtinId="9" hidden="1"/>
    <cellStyle name="Followed Hyperlink" xfId="1107" builtinId="9" hidden="1"/>
    <cellStyle name="Followed Hyperlink" xfId="1108" builtinId="9" hidden="1"/>
    <cellStyle name="Followed Hyperlink" xfId="1109" builtinId="9" hidden="1"/>
    <cellStyle name="Followed Hyperlink" xfId="1110" builtinId="9" hidden="1"/>
    <cellStyle name="Followed Hyperlink" xfId="1111" builtinId="9" hidden="1"/>
    <cellStyle name="Followed Hyperlink" xfId="1112" builtinId="9" hidden="1"/>
    <cellStyle name="Followed Hyperlink" xfId="1113" builtinId="9" hidden="1"/>
    <cellStyle name="Followed Hyperlink" xfId="1114" builtinId="9" hidden="1"/>
    <cellStyle name="Followed Hyperlink" xfId="1115" builtinId="9" hidden="1"/>
    <cellStyle name="Followed Hyperlink" xfId="1116" builtinId="9" hidden="1"/>
    <cellStyle name="Followed Hyperlink" xfId="1117" builtinId="9" hidden="1"/>
    <cellStyle name="Followed Hyperlink" xfId="1118" builtinId="9" hidden="1"/>
    <cellStyle name="Followed Hyperlink" xfId="1119" builtinId="9" hidden="1"/>
    <cellStyle name="Followed Hyperlink" xfId="1120" builtinId="9" hidden="1"/>
    <cellStyle name="Followed Hyperlink" xfId="1121" builtinId="9" hidden="1"/>
    <cellStyle name="Followed Hyperlink" xfId="1122" builtinId="9" hidden="1"/>
    <cellStyle name="Followed Hyperlink" xfId="1123" builtinId="9" hidden="1"/>
    <cellStyle name="Followed Hyperlink" xfId="1124" builtinId="9" hidden="1"/>
    <cellStyle name="Followed Hyperlink" xfId="1125" builtinId="9" hidden="1"/>
    <cellStyle name="Followed Hyperlink" xfId="1126" builtinId="9" hidden="1"/>
    <cellStyle name="Followed Hyperlink" xfId="1127" builtinId="9" hidden="1"/>
    <cellStyle name="Followed Hyperlink" xfId="1128" builtinId="9" hidden="1"/>
    <cellStyle name="Followed Hyperlink" xfId="1129" builtinId="9" hidden="1"/>
    <cellStyle name="Followed Hyperlink" xfId="1130" builtinId="9" hidden="1"/>
    <cellStyle name="Followed Hyperlink" xfId="1131" builtinId="9" hidden="1"/>
    <cellStyle name="Followed Hyperlink" xfId="1132" builtinId="9" hidden="1"/>
    <cellStyle name="Followed Hyperlink" xfId="1133" builtinId="9" hidden="1"/>
    <cellStyle name="Followed Hyperlink" xfId="1134" builtinId="9" hidden="1"/>
    <cellStyle name="Followed Hyperlink" xfId="1135" builtinId="9" hidden="1"/>
    <cellStyle name="Followed Hyperlink" xfId="1136" builtinId="9" hidden="1"/>
    <cellStyle name="Followed Hyperlink" xfId="1137" builtinId="9" hidden="1"/>
    <cellStyle name="Followed Hyperlink" xfId="1138" builtinId="9" hidden="1"/>
    <cellStyle name="Followed Hyperlink" xfId="1139" builtinId="9" hidden="1"/>
    <cellStyle name="Followed Hyperlink" xfId="1140" builtinId="9" hidden="1"/>
    <cellStyle name="Followed Hyperlink" xfId="1141" builtinId="9" hidden="1"/>
    <cellStyle name="Followed Hyperlink" xfId="1142" builtinId="9" hidden="1"/>
    <cellStyle name="Followed Hyperlink" xfId="1143" builtinId="9" hidden="1"/>
    <cellStyle name="Followed Hyperlink" xfId="1144" builtinId="9" hidden="1"/>
    <cellStyle name="Followed Hyperlink" xfId="1145" builtinId="9" hidden="1"/>
    <cellStyle name="Followed Hyperlink" xfId="1146" builtinId="9" hidden="1"/>
    <cellStyle name="Followed Hyperlink" xfId="1147" builtinId="9" hidden="1"/>
    <cellStyle name="Followed Hyperlink" xfId="1148" builtinId="9" hidden="1"/>
    <cellStyle name="Followed Hyperlink" xfId="1149" builtinId="9" hidden="1"/>
    <cellStyle name="Followed Hyperlink" xfId="1150" builtinId="9" hidden="1"/>
    <cellStyle name="Followed Hyperlink" xfId="1151" builtinId="9" hidden="1"/>
    <cellStyle name="Followed Hyperlink" xfId="1152" builtinId="9" hidden="1"/>
    <cellStyle name="Followed Hyperlink" xfId="1153" builtinId="9" hidden="1"/>
    <cellStyle name="Followed Hyperlink" xfId="1154" builtinId="9" hidden="1"/>
    <cellStyle name="Followed Hyperlink" xfId="1155" builtinId="9" hidden="1"/>
    <cellStyle name="Followed Hyperlink" xfId="1156" builtinId="9" hidden="1"/>
    <cellStyle name="Followed Hyperlink" xfId="1157" builtinId="9" hidden="1"/>
    <cellStyle name="Followed Hyperlink" xfId="1158" builtinId="9" hidden="1"/>
    <cellStyle name="Followed Hyperlink" xfId="1159" builtinId="9" hidden="1"/>
    <cellStyle name="Followed Hyperlink" xfId="1160" builtinId="9" hidden="1"/>
    <cellStyle name="Followed Hyperlink" xfId="1161" builtinId="9" hidden="1"/>
    <cellStyle name="Followed Hyperlink" xfId="1162" builtinId="9" hidden="1"/>
    <cellStyle name="Followed Hyperlink" xfId="1163" builtinId="9" hidden="1"/>
    <cellStyle name="Followed Hyperlink" xfId="1164" builtinId="9" hidden="1"/>
    <cellStyle name="Followed Hyperlink" xfId="1165" builtinId="9" hidden="1"/>
    <cellStyle name="Followed Hyperlink" xfId="1166" builtinId="9" hidden="1"/>
    <cellStyle name="Followed Hyperlink" xfId="1167" builtinId="9" hidden="1"/>
    <cellStyle name="Followed Hyperlink" xfId="1168" builtinId="9" hidden="1"/>
    <cellStyle name="Followed Hyperlink" xfId="1169" builtinId="9" hidden="1"/>
    <cellStyle name="Followed Hyperlink" xfId="1170" builtinId="9" hidden="1"/>
    <cellStyle name="Followed Hyperlink" xfId="1171" builtinId="9" hidden="1"/>
    <cellStyle name="Followed Hyperlink" xfId="1172" builtinId="9" hidden="1"/>
    <cellStyle name="Followed Hyperlink" xfId="1173" builtinId="9" hidden="1"/>
    <cellStyle name="Followed Hyperlink" xfId="1174" builtinId="9" hidden="1"/>
    <cellStyle name="Followed Hyperlink" xfId="1175" builtinId="9" hidden="1"/>
    <cellStyle name="Followed Hyperlink" xfId="1176" builtinId="9" hidden="1"/>
    <cellStyle name="Followed Hyperlink" xfId="1177" builtinId="9" hidden="1"/>
    <cellStyle name="Followed Hyperlink" xfId="1178" builtinId="9" hidden="1"/>
    <cellStyle name="Followed Hyperlink" xfId="1179" builtinId="9" hidden="1"/>
    <cellStyle name="Followed Hyperlink" xfId="1180" builtinId="9" hidden="1"/>
    <cellStyle name="Followed Hyperlink" xfId="1181" builtinId="9" hidden="1"/>
    <cellStyle name="Followed Hyperlink" xfId="1182" builtinId="9" hidden="1"/>
    <cellStyle name="Followed Hyperlink" xfId="1183" builtinId="9" hidden="1"/>
    <cellStyle name="Followed Hyperlink" xfId="1184" builtinId="9" hidden="1"/>
    <cellStyle name="Followed Hyperlink" xfId="1185" builtinId="9" hidden="1"/>
    <cellStyle name="Followed Hyperlink" xfId="1186" builtinId="9" hidden="1"/>
    <cellStyle name="Followed Hyperlink" xfId="1187" builtinId="9" hidden="1"/>
    <cellStyle name="Followed Hyperlink" xfId="1188" builtinId="9" hidden="1"/>
    <cellStyle name="Followed Hyperlink" xfId="1189" builtinId="9" hidden="1"/>
    <cellStyle name="Followed Hyperlink" xfId="1190" builtinId="9" hidden="1"/>
    <cellStyle name="Followed Hyperlink" xfId="1191" builtinId="9" hidden="1"/>
    <cellStyle name="Followed Hyperlink" xfId="1192" builtinId="9" hidden="1"/>
    <cellStyle name="Followed Hyperlink" xfId="1193" builtinId="9" hidden="1"/>
    <cellStyle name="Followed Hyperlink" xfId="1194" builtinId="9" hidden="1"/>
    <cellStyle name="Followed Hyperlink" xfId="1195" builtinId="9" hidden="1"/>
    <cellStyle name="Followed Hyperlink" xfId="1196" builtinId="9" hidden="1"/>
    <cellStyle name="Followed Hyperlink" xfId="1197" builtinId="9" hidden="1"/>
    <cellStyle name="Followed Hyperlink" xfId="1198" builtinId="9" hidden="1"/>
    <cellStyle name="Followed Hyperlink" xfId="1199" builtinId="9" hidden="1"/>
    <cellStyle name="Followed Hyperlink" xfId="1200" builtinId="9" hidden="1"/>
    <cellStyle name="Followed Hyperlink" xfId="1201" builtinId="9" hidden="1"/>
    <cellStyle name="Followed Hyperlink" xfId="1202" builtinId="9" hidden="1"/>
    <cellStyle name="Followed Hyperlink" xfId="1203" builtinId="9" hidden="1"/>
    <cellStyle name="Followed Hyperlink" xfId="1204" builtinId="9" hidden="1"/>
    <cellStyle name="Followed Hyperlink" xfId="1205" builtinId="9" hidden="1"/>
    <cellStyle name="Followed Hyperlink" xfId="1206" builtinId="9" hidden="1"/>
    <cellStyle name="Followed Hyperlink" xfId="1207" builtinId="9" hidden="1"/>
    <cellStyle name="Followed Hyperlink" xfId="1208" builtinId="9" hidden="1"/>
    <cellStyle name="Followed Hyperlink" xfId="1209" builtinId="9" hidden="1"/>
    <cellStyle name="Followed Hyperlink" xfId="1210" builtinId="9" hidden="1"/>
    <cellStyle name="Followed Hyperlink" xfId="1211" builtinId="9" hidden="1"/>
    <cellStyle name="Followed Hyperlink" xfId="1212" builtinId="9" hidden="1"/>
    <cellStyle name="Followed Hyperlink" xfId="1213" builtinId="9" hidden="1"/>
    <cellStyle name="Followed Hyperlink" xfId="1214" builtinId="9" hidden="1"/>
    <cellStyle name="Followed Hyperlink" xfId="1215" builtinId="9" hidden="1"/>
    <cellStyle name="Followed Hyperlink" xfId="1216" builtinId="9" hidden="1"/>
    <cellStyle name="Followed Hyperlink" xfId="1217" builtinId="9" hidden="1"/>
    <cellStyle name="Followed Hyperlink" xfId="1218" builtinId="9" hidden="1"/>
    <cellStyle name="Followed Hyperlink" xfId="1219" builtinId="9" hidden="1"/>
    <cellStyle name="Followed Hyperlink" xfId="1220" builtinId="9" hidden="1"/>
    <cellStyle name="Followed Hyperlink" xfId="1221" builtinId="9" hidden="1"/>
    <cellStyle name="Followed Hyperlink" xfId="1222" builtinId="9" hidden="1"/>
    <cellStyle name="Followed Hyperlink" xfId="1223" builtinId="9" hidden="1"/>
    <cellStyle name="Followed Hyperlink" xfId="1224" builtinId="9" hidden="1"/>
    <cellStyle name="Followed Hyperlink" xfId="1225" builtinId="9" hidden="1"/>
    <cellStyle name="Followed Hyperlink" xfId="1226" builtinId="9" hidden="1"/>
    <cellStyle name="Followed Hyperlink" xfId="1227" builtinId="9" hidden="1"/>
    <cellStyle name="Followed Hyperlink" xfId="1228" builtinId="9" hidden="1"/>
    <cellStyle name="Followed Hyperlink" xfId="1229" builtinId="9" hidden="1"/>
    <cellStyle name="Followed Hyperlink" xfId="1230" builtinId="9" hidden="1"/>
    <cellStyle name="Followed Hyperlink" xfId="1231" builtinId="9" hidden="1"/>
    <cellStyle name="Followed Hyperlink" xfId="1232" builtinId="9" hidden="1"/>
    <cellStyle name="Followed Hyperlink" xfId="1233" builtinId="9" hidden="1"/>
    <cellStyle name="Followed Hyperlink" xfId="1234" builtinId="9" hidden="1"/>
    <cellStyle name="Followed Hyperlink" xfId="1235" builtinId="9" hidden="1"/>
    <cellStyle name="Followed Hyperlink" xfId="1236" builtinId="9" hidden="1"/>
    <cellStyle name="Followed Hyperlink" xfId="1237" builtinId="9" hidden="1"/>
    <cellStyle name="Followed Hyperlink" xfId="1238" builtinId="9" hidden="1"/>
    <cellStyle name="Followed Hyperlink" xfId="1239" builtinId="9" hidden="1"/>
    <cellStyle name="Followed Hyperlink" xfId="1240" builtinId="9" hidden="1"/>
    <cellStyle name="Followed Hyperlink" xfId="1241" builtinId="9" hidden="1"/>
    <cellStyle name="Followed Hyperlink" xfId="1242" builtinId="9" hidden="1"/>
    <cellStyle name="Followed Hyperlink" xfId="1243" builtinId="9" hidden="1"/>
    <cellStyle name="Followed Hyperlink" xfId="1244" builtinId="9" hidden="1"/>
    <cellStyle name="Followed Hyperlink" xfId="1245" builtinId="9" hidden="1"/>
    <cellStyle name="Followed Hyperlink" xfId="1246" builtinId="9" hidden="1"/>
    <cellStyle name="Followed Hyperlink" xfId="1247" builtinId="9" hidden="1"/>
    <cellStyle name="Followed Hyperlink" xfId="1248" builtinId="9" hidden="1"/>
    <cellStyle name="Followed Hyperlink" xfId="1249" builtinId="9" hidden="1"/>
    <cellStyle name="Followed Hyperlink" xfId="1250" builtinId="9" hidden="1"/>
    <cellStyle name="Followed Hyperlink" xfId="1251" builtinId="9" hidden="1"/>
    <cellStyle name="Followed Hyperlink" xfId="1252" builtinId="9" hidden="1"/>
    <cellStyle name="Followed Hyperlink" xfId="1253" builtinId="9" hidden="1"/>
    <cellStyle name="Followed Hyperlink" xfId="1254" builtinId="9" hidden="1"/>
    <cellStyle name="Followed Hyperlink" xfId="1255" builtinId="9" hidden="1"/>
    <cellStyle name="Followed Hyperlink" xfId="1256" builtinId="9" hidden="1"/>
    <cellStyle name="Followed Hyperlink" xfId="1257" builtinId="9" hidden="1"/>
    <cellStyle name="Followed Hyperlink" xfId="1258" builtinId="9" hidden="1"/>
    <cellStyle name="Followed Hyperlink" xfId="1259" builtinId="9" hidden="1"/>
    <cellStyle name="Followed Hyperlink" xfId="1260" builtinId="9" hidden="1"/>
    <cellStyle name="Followed Hyperlink" xfId="1261" builtinId="9" hidden="1"/>
    <cellStyle name="Followed Hyperlink" xfId="1262" builtinId="9" hidden="1"/>
    <cellStyle name="Followed Hyperlink" xfId="1263" builtinId="9" hidden="1"/>
    <cellStyle name="Followed Hyperlink" xfId="1264" builtinId="9" hidden="1"/>
    <cellStyle name="Followed Hyperlink" xfId="1265" builtinId="9" hidden="1"/>
    <cellStyle name="Followed Hyperlink" xfId="1266" builtinId="9" hidden="1"/>
    <cellStyle name="Followed Hyperlink" xfId="1267" builtinId="9" hidden="1"/>
    <cellStyle name="Followed Hyperlink" xfId="1268" builtinId="9" hidden="1"/>
    <cellStyle name="Followed Hyperlink" xfId="1269" builtinId="9" hidden="1"/>
    <cellStyle name="Followed Hyperlink" xfId="1270" builtinId="9" hidden="1"/>
    <cellStyle name="Followed Hyperlink" xfId="1271" builtinId="9" hidden="1"/>
    <cellStyle name="Followed Hyperlink" xfId="1272" builtinId="9" hidden="1"/>
    <cellStyle name="Followed Hyperlink" xfId="1273" builtinId="9" hidden="1"/>
    <cellStyle name="Followed Hyperlink" xfId="1274" builtinId="9" hidden="1"/>
    <cellStyle name="Followed Hyperlink" xfId="1275" builtinId="9" hidden="1"/>
    <cellStyle name="Followed Hyperlink" xfId="1276" builtinId="9" hidden="1"/>
    <cellStyle name="Followed Hyperlink" xfId="1277" builtinId="9" hidden="1"/>
    <cellStyle name="Followed Hyperlink" xfId="1278" builtinId="9" hidden="1"/>
    <cellStyle name="Followed Hyperlink" xfId="1279" builtinId="9" hidden="1"/>
    <cellStyle name="Followed Hyperlink" xfId="1280" builtinId="9" hidden="1"/>
    <cellStyle name="Followed Hyperlink" xfId="1281" builtinId="9" hidden="1"/>
    <cellStyle name="Followed Hyperlink" xfId="1282" builtinId="9" hidden="1"/>
    <cellStyle name="Followed Hyperlink" xfId="1283" builtinId="9" hidden="1"/>
    <cellStyle name="Followed Hyperlink" xfId="1284" builtinId="9" hidden="1"/>
    <cellStyle name="Followed Hyperlink" xfId="1285" builtinId="9" hidden="1"/>
    <cellStyle name="Followed Hyperlink" xfId="1286" builtinId="9" hidden="1"/>
    <cellStyle name="Followed Hyperlink" xfId="1287" builtinId="9" hidden="1"/>
    <cellStyle name="Followed Hyperlink" xfId="1288" builtinId="9" hidden="1"/>
    <cellStyle name="Followed Hyperlink" xfId="1289" builtinId="9" hidden="1"/>
    <cellStyle name="Followed Hyperlink" xfId="1290" builtinId="9" hidden="1"/>
    <cellStyle name="Followed Hyperlink" xfId="1291" builtinId="9" hidden="1"/>
    <cellStyle name="Followed Hyperlink" xfId="1292" builtinId="9" hidden="1"/>
    <cellStyle name="Followed Hyperlink" xfId="1293" builtinId="9" hidden="1"/>
    <cellStyle name="Followed Hyperlink" xfId="1294" builtinId="9" hidden="1"/>
    <cellStyle name="Followed Hyperlink" xfId="1295" builtinId="9" hidden="1"/>
    <cellStyle name="Followed Hyperlink" xfId="1296" builtinId="9" hidden="1"/>
    <cellStyle name="Followed Hyperlink" xfId="1297" builtinId="9" hidden="1"/>
    <cellStyle name="Followed Hyperlink" xfId="1298" builtinId="9" hidden="1"/>
    <cellStyle name="Followed Hyperlink" xfId="1299" builtinId="9" hidden="1"/>
    <cellStyle name="Followed Hyperlink" xfId="1300" builtinId="9" hidden="1"/>
    <cellStyle name="Followed Hyperlink" xfId="1301" builtinId="9" hidden="1"/>
    <cellStyle name="Followed Hyperlink" xfId="1302" builtinId="9" hidden="1"/>
    <cellStyle name="Followed Hyperlink" xfId="1303" builtinId="9" hidden="1"/>
    <cellStyle name="Followed Hyperlink" xfId="1304" builtinId="9" hidden="1"/>
    <cellStyle name="Followed Hyperlink" xfId="1305" builtinId="9" hidden="1"/>
    <cellStyle name="Followed Hyperlink" xfId="1306" builtinId="9" hidden="1"/>
    <cellStyle name="Followed Hyperlink" xfId="1307" builtinId="9" hidden="1"/>
    <cellStyle name="Followed Hyperlink" xfId="1308" builtinId="9" hidden="1"/>
    <cellStyle name="Followed Hyperlink" xfId="1309" builtinId="9" hidden="1"/>
    <cellStyle name="Followed Hyperlink" xfId="1310" builtinId="9" hidden="1"/>
    <cellStyle name="Followed Hyperlink" xfId="1311" builtinId="9" hidden="1"/>
    <cellStyle name="Followed Hyperlink" xfId="1312" builtinId="9" hidden="1"/>
    <cellStyle name="Followed Hyperlink" xfId="1313" builtinId="9" hidden="1"/>
    <cellStyle name="Followed Hyperlink" xfId="1314" builtinId="9" hidden="1"/>
    <cellStyle name="Followed Hyperlink" xfId="1315" builtinId="9" hidden="1"/>
    <cellStyle name="Followed Hyperlink" xfId="1316" builtinId="9" hidden="1"/>
    <cellStyle name="Followed Hyperlink" xfId="1317" builtinId="9" hidden="1"/>
    <cellStyle name="Followed Hyperlink" xfId="1318" builtinId="9" hidden="1"/>
    <cellStyle name="Followed Hyperlink" xfId="1319" builtinId="9" hidden="1"/>
    <cellStyle name="Followed Hyperlink" xfId="1320" builtinId="9" hidden="1"/>
    <cellStyle name="Followed Hyperlink" xfId="1321" builtinId="9" hidden="1"/>
    <cellStyle name="Followed Hyperlink" xfId="1322" builtinId="9" hidden="1"/>
    <cellStyle name="Followed Hyperlink" xfId="1323" builtinId="9" hidden="1"/>
    <cellStyle name="Followed Hyperlink" xfId="1324" builtinId="9" hidden="1"/>
    <cellStyle name="Followed Hyperlink" xfId="1325" builtinId="9" hidden="1"/>
    <cellStyle name="Followed Hyperlink" xfId="1326" builtinId="9" hidden="1"/>
    <cellStyle name="Followed Hyperlink" xfId="1327" builtinId="9" hidden="1"/>
    <cellStyle name="Followed Hyperlink" xfId="1328" builtinId="9" hidden="1"/>
    <cellStyle name="Followed Hyperlink" xfId="1329" builtinId="9" hidden="1"/>
    <cellStyle name="Followed Hyperlink" xfId="1330" builtinId="9" hidden="1"/>
    <cellStyle name="Followed Hyperlink" xfId="1331" builtinId="9" hidden="1"/>
    <cellStyle name="Followed Hyperlink" xfId="1332" builtinId="9" hidden="1"/>
    <cellStyle name="Followed Hyperlink" xfId="1333" builtinId="9" hidden="1"/>
    <cellStyle name="Followed Hyperlink" xfId="1334" builtinId="9" hidden="1"/>
    <cellStyle name="Followed Hyperlink" xfId="1335" builtinId="9" hidden="1"/>
    <cellStyle name="Followed Hyperlink" xfId="1336" builtinId="9" hidden="1"/>
    <cellStyle name="Followed Hyperlink" xfId="1337" builtinId="9" hidden="1"/>
    <cellStyle name="Followed Hyperlink" xfId="1338" builtinId="9" hidden="1"/>
    <cellStyle name="Followed Hyperlink" xfId="1339" builtinId="9" hidden="1"/>
    <cellStyle name="Followed Hyperlink" xfId="1340" builtinId="9" hidden="1"/>
    <cellStyle name="Followed Hyperlink" xfId="1341" builtinId="9" hidden="1"/>
    <cellStyle name="Followed Hyperlink" xfId="1342" builtinId="9" hidden="1"/>
    <cellStyle name="Followed Hyperlink" xfId="1343" builtinId="9" hidden="1"/>
    <cellStyle name="Followed Hyperlink" xfId="1344" builtinId="9" hidden="1"/>
    <cellStyle name="Followed Hyperlink" xfId="1345" builtinId="9" hidden="1"/>
    <cellStyle name="Followed Hyperlink" xfId="1346" builtinId="9" hidden="1"/>
    <cellStyle name="Followed Hyperlink" xfId="1347" builtinId="9" hidden="1"/>
    <cellStyle name="Followed Hyperlink" xfId="1348" builtinId="9" hidden="1"/>
    <cellStyle name="Followed Hyperlink" xfId="1349" builtinId="9" hidden="1"/>
    <cellStyle name="Followed Hyperlink" xfId="1350" builtinId="9" hidden="1"/>
    <cellStyle name="Followed Hyperlink" xfId="1351" builtinId="9" hidden="1"/>
    <cellStyle name="Followed Hyperlink" xfId="1352" builtinId="9" hidden="1"/>
    <cellStyle name="Followed Hyperlink" xfId="1353" builtinId="9" hidden="1"/>
    <cellStyle name="Followed Hyperlink" xfId="1354" builtinId="9" hidden="1"/>
    <cellStyle name="Followed Hyperlink" xfId="1355" builtinId="9" hidden="1"/>
    <cellStyle name="Followed Hyperlink" xfId="1356" builtinId="9" hidden="1"/>
    <cellStyle name="Followed Hyperlink" xfId="1357" builtinId="9" hidden="1"/>
    <cellStyle name="Followed Hyperlink" xfId="1358" builtinId="9" hidden="1"/>
    <cellStyle name="Followed Hyperlink" xfId="1359" builtinId="9" hidden="1"/>
    <cellStyle name="Followed Hyperlink" xfId="1360" builtinId="9" hidden="1"/>
    <cellStyle name="Followed Hyperlink" xfId="1361" builtinId="9" hidden="1"/>
    <cellStyle name="Followed Hyperlink" xfId="1362" builtinId="9" hidden="1"/>
    <cellStyle name="Followed Hyperlink" xfId="1363" builtinId="9" hidden="1"/>
    <cellStyle name="Followed Hyperlink" xfId="1364" builtinId="9" hidden="1"/>
    <cellStyle name="Followed Hyperlink" xfId="1365" builtinId="9" hidden="1"/>
    <cellStyle name="Followed Hyperlink" xfId="1366" builtinId="9" hidden="1"/>
    <cellStyle name="Followed Hyperlink" xfId="1367" builtinId="9" hidden="1"/>
    <cellStyle name="Followed Hyperlink" xfId="1368" builtinId="9" hidden="1"/>
    <cellStyle name="Followed Hyperlink" xfId="1369" builtinId="9" hidden="1"/>
    <cellStyle name="Followed Hyperlink" xfId="1370" builtinId="9" hidden="1"/>
    <cellStyle name="Followed Hyperlink" xfId="1371" builtinId="9" hidden="1"/>
    <cellStyle name="Followed Hyperlink" xfId="1372" builtinId="9" hidden="1"/>
    <cellStyle name="Followed Hyperlink" xfId="1373" builtinId="9" hidden="1"/>
    <cellStyle name="Followed Hyperlink" xfId="1374" builtinId="9" hidden="1"/>
    <cellStyle name="Followed Hyperlink" xfId="1375" builtinId="9" hidden="1"/>
    <cellStyle name="Followed Hyperlink" xfId="1376" builtinId="9" hidden="1"/>
    <cellStyle name="Followed Hyperlink" xfId="1377" builtinId="9" hidden="1"/>
    <cellStyle name="Followed Hyperlink" xfId="1378" builtinId="9" hidden="1"/>
    <cellStyle name="Followed Hyperlink" xfId="1379" builtinId="9" hidden="1"/>
    <cellStyle name="Followed Hyperlink" xfId="1380" builtinId="9" hidden="1"/>
    <cellStyle name="Followed Hyperlink" xfId="1381" builtinId="9" hidden="1"/>
    <cellStyle name="Followed Hyperlink" xfId="1382" builtinId="9" hidden="1"/>
    <cellStyle name="Followed Hyperlink" xfId="1383" builtinId="9" hidden="1"/>
    <cellStyle name="Followed Hyperlink" xfId="1384" builtinId="9" hidden="1"/>
    <cellStyle name="Followed Hyperlink" xfId="1385" builtinId="9" hidden="1"/>
    <cellStyle name="Followed Hyperlink" xfId="1386" builtinId="9" hidden="1"/>
    <cellStyle name="Followed Hyperlink" xfId="1387" builtinId="9" hidden="1"/>
    <cellStyle name="Followed Hyperlink" xfId="1388" builtinId="9" hidden="1"/>
    <cellStyle name="Followed Hyperlink" xfId="1389" builtinId="9" hidden="1"/>
    <cellStyle name="Followed Hyperlink" xfId="1390" builtinId="9" hidden="1"/>
    <cellStyle name="Followed Hyperlink" xfId="1391" builtinId="9" hidden="1"/>
    <cellStyle name="Followed Hyperlink" xfId="1392" builtinId="9" hidden="1"/>
    <cellStyle name="Followed Hyperlink" xfId="1393" builtinId="9" hidden="1"/>
    <cellStyle name="Followed Hyperlink" xfId="1394" builtinId="9" hidden="1"/>
    <cellStyle name="Followed Hyperlink" xfId="1395" builtinId="9" hidden="1"/>
    <cellStyle name="Followed Hyperlink" xfId="1396" builtinId="9" hidden="1"/>
    <cellStyle name="Followed Hyperlink" xfId="1397" builtinId="9" hidden="1"/>
    <cellStyle name="Followed Hyperlink" xfId="1398" builtinId="9" hidden="1"/>
    <cellStyle name="Followed Hyperlink" xfId="1399" builtinId="9" hidden="1"/>
    <cellStyle name="Followed Hyperlink" xfId="1400" builtinId="9" hidden="1"/>
    <cellStyle name="Followed Hyperlink" xfId="1401" builtinId="9" hidden="1"/>
    <cellStyle name="Followed Hyperlink" xfId="1402" builtinId="9" hidden="1"/>
    <cellStyle name="Followed Hyperlink" xfId="1403" builtinId="9" hidden="1"/>
    <cellStyle name="Followed Hyperlink" xfId="1404" builtinId="9" hidden="1"/>
    <cellStyle name="Followed Hyperlink" xfId="1405" builtinId="9" hidden="1"/>
    <cellStyle name="Followed Hyperlink" xfId="1406" builtinId="9" hidden="1"/>
    <cellStyle name="Followed Hyperlink" xfId="1407" builtinId="9" hidden="1"/>
    <cellStyle name="Followed Hyperlink" xfId="1408" builtinId="9" hidden="1"/>
    <cellStyle name="Followed Hyperlink" xfId="1409" builtinId="9" hidden="1"/>
    <cellStyle name="Followed Hyperlink" xfId="1410" builtinId="9" hidden="1"/>
    <cellStyle name="Followed Hyperlink" xfId="1411" builtinId="9" hidden="1"/>
    <cellStyle name="Followed Hyperlink" xfId="1412" builtinId="9" hidden="1"/>
    <cellStyle name="Followed Hyperlink" xfId="1413" builtinId="9" hidden="1"/>
    <cellStyle name="Followed Hyperlink" xfId="1414" builtinId="9" hidden="1"/>
    <cellStyle name="Followed Hyperlink" xfId="1415" builtinId="9" hidden="1"/>
    <cellStyle name="Followed Hyperlink" xfId="1416" builtinId="9" hidden="1"/>
    <cellStyle name="Followed Hyperlink" xfId="1417" builtinId="9" hidden="1"/>
    <cellStyle name="Followed Hyperlink" xfId="1418" builtinId="9" hidden="1"/>
    <cellStyle name="Followed Hyperlink" xfId="1419" builtinId="9" hidden="1"/>
    <cellStyle name="Followed Hyperlink" xfId="1420" builtinId="9" hidden="1"/>
    <cellStyle name="Followed Hyperlink" xfId="1421" builtinId="9" hidden="1"/>
    <cellStyle name="Followed Hyperlink" xfId="1422" builtinId="9" hidden="1"/>
    <cellStyle name="Followed Hyperlink" xfId="1423" builtinId="9" hidden="1"/>
    <cellStyle name="Followed Hyperlink" xfId="1424" builtinId="9" hidden="1"/>
    <cellStyle name="Followed Hyperlink" xfId="1425" builtinId="9" hidden="1"/>
    <cellStyle name="Followed Hyperlink" xfId="1426" builtinId="9" hidden="1"/>
    <cellStyle name="Followed Hyperlink" xfId="1427" builtinId="9" hidden="1"/>
    <cellStyle name="Followed Hyperlink" xfId="1428" builtinId="9" hidden="1"/>
    <cellStyle name="Followed Hyperlink" xfId="1429" builtinId="9" hidden="1"/>
    <cellStyle name="Followed Hyperlink" xfId="1430" builtinId="9" hidden="1"/>
    <cellStyle name="Followed Hyperlink" xfId="1431" builtinId="9" hidden="1"/>
    <cellStyle name="Followed Hyperlink" xfId="1432" builtinId="9" hidden="1"/>
    <cellStyle name="Followed Hyperlink" xfId="1433" builtinId="9" hidden="1"/>
    <cellStyle name="Followed Hyperlink" xfId="1434" builtinId="9" hidden="1"/>
    <cellStyle name="Followed Hyperlink" xfId="1435" builtinId="9" hidden="1"/>
    <cellStyle name="Followed Hyperlink" xfId="1436" builtinId="9" hidden="1"/>
    <cellStyle name="Followed Hyperlink" xfId="1437" builtinId="9" hidden="1"/>
    <cellStyle name="Followed Hyperlink" xfId="1438" builtinId="9" hidden="1"/>
    <cellStyle name="Followed Hyperlink" xfId="1439" builtinId="9" hidden="1"/>
    <cellStyle name="Followed Hyperlink" xfId="1440" builtinId="9" hidden="1"/>
    <cellStyle name="Followed Hyperlink" xfId="1441" builtinId="9" hidden="1"/>
    <cellStyle name="Followed Hyperlink" xfId="1442" builtinId="9" hidden="1"/>
    <cellStyle name="Followed Hyperlink" xfId="1443" builtinId="9" hidden="1"/>
    <cellStyle name="Followed Hyperlink" xfId="1444" builtinId="9" hidden="1"/>
    <cellStyle name="Followed Hyperlink" xfId="1445" builtinId="9" hidden="1"/>
    <cellStyle name="Followed Hyperlink" xfId="1446" builtinId="9" hidden="1"/>
    <cellStyle name="Followed Hyperlink" xfId="1447" builtinId="9" hidden="1"/>
    <cellStyle name="Followed Hyperlink" xfId="1448" builtinId="9" hidden="1"/>
    <cellStyle name="Followed Hyperlink" xfId="1449" builtinId="9" hidden="1"/>
    <cellStyle name="Followed Hyperlink" xfId="1450" builtinId="9" hidden="1"/>
    <cellStyle name="Followed Hyperlink" xfId="1451" builtinId="9" hidden="1"/>
    <cellStyle name="Followed Hyperlink" xfId="1452" builtinId="9" hidden="1"/>
    <cellStyle name="Followed Hyperlink" xfId="1453" builtinId="9" hidden="1"/>
    <cellStyle name="Followed Hyperlink" xfId="1454" builtinId="9" hidden="1"/>
    <cellStyle name="Followed Hyperlink" xfId="1455" builtinId="9" hidden="1"/>
    <cellStyle name="Followed Hyperlink" xfId="1456" builtinId="9" hidden="1"/>
    <cellStyle name="Followed Hyperlink" xfId="1457" builtinId="9" hidden="1"/>
    <cellStyle name="Followed Hyperlink" xfId="1458" builtinId="9" hidden="1"/>
    <cellStyle name="Followed Hyperlink" xfId="1459" builtinId="9" hidden="1"/>
    <cellStyle name="Followed Hyperlink" xfId="1460" builtinId="9" hidden="1"/>
    <cellStyle name="Followed Hyperlink" xfId="1461" builtinId="9" hidden="1"/>
    <cellStyle name="Followed Hyperlink" xfId="1462" builtinId="9" hidden="1"/>
    <cellStyle name="Followed Hyperlink" xfId="1463" builtinId="9" hidden="1"/>
    <cellStyle name="Followed Hyperlink" xfId="1464" builtinId="9" hidden="1"/>
    <cellStyle name="Followed Hyperlink" xfId="1465" builtinId="9" hidden="1"/>
    <cellStyle name="Followed Hyperlink" xfId="1466" builtinId="9" hidden="1"/>
    <cellStyle name="Followed Hyperlink" xfId="1467" builtinId="9" hidden="1"/>
    <cellStyle name="Followed Hyperlink" xfId="1468" builtinId="9" hidden="1"/>
    <cellStyle name="Followed Hyperlink" xfId="1469" builtinId="9" hidden="1"/>
    <cellStyle name="Followed Hyperlink" xfId="1470" builtinId="9" hidden="1"/>
    <cellStyle name="Followed Hyperlink" xfId="1471" builtinId="9" hidden="1"/>
    <cellStyle name="Followed Hyperlink" xfId="1472" builtinId="9" hidden="1"/>
    <cellStyle name="Followed Hyperlink" xfId="1473" builtinId="9" hidden="1"/>
    <cellStyle name="Followed Hyperlink" xfId="1474" builtinId="9" hidden="1"/>
    <cellStyle name="Followed Hyperlink" xfId="1475" builtinId="9" hidden="1"/>
    <cellStyle name="Followed Hyperlink" xfId="1476" builtinId="9" hidden="1"/>
    <cellStyle name="Followed Hyperlink" xfId="1477" builtinId="9" hidden="1"/>
    <cellStyle name="Followed Hyperlink" xfId="1478" builtinId="9" hidden="1"/>
    <cellStyle name="Followed Hyperlink" xfId="1479" builtinId="9" hidden="1"/>
    <cellStyle name="Followed Hyperlink" xfId="1480" builtinId="9" hidden="1"/>
    <cellStyle name="Followed Hyperlink" xfId="1481" builtinId="9" hidden="1"/>
    <cellStyle name="Followed Hyperlink" xfId="1482" builtinId="9" hidden="1"/>
    <cellStyle name="Followed Hyperlink" xfId="1483" builtinId="9" hidden="1"/>
    <cellStyle name="Followed Hyperlink" xfId="1484" builtinId="9" hidden="1"/>
    <cellStyle name="Followed Hyperlink" xfId="1485" builtinId="9" hidden="1"/>
    <cellStyle name="Followed Hyperlink" xfId="1486" builtinId="9" hidden="1"/>
    <cellStyle name="Followed Hyperlink" xfId="1487" builtinId="9" hidden="1"/>
    <cellStyle name="Followed Hyperlink" xfId="1488" builtinId="9" hidden="1"/>
    <cellStyle name="Followed Hyperlink" xfId="1489" builtinId="9" hidden="1"/>
    <cellStyle name="Followed Hyperlink" xfId="1490" builtinId="9" hidden="1"/>
    <cellStyle name="Followed Hyperlink" xfId="1491" builtinId="9" hidden="1"/>
    <cellStyle name="Followed Hyperlink" xfId="1492" builtinId="9" hidden="1"/>
    <cellStyle name="Followed Hyperlink" xfId="1493" builtinId="9" hidden="1"/>
    <cellStyle name="Followed Hyperlink" xfId="1494" builtinId="9" hidden="1"/>
    <cellStyle name="Followed Hyperlink" xfId="1495" builtinId="9" hidden="1"/>
    <cellStyle name="Followed Hyperlink" xfId="1496" builtinId="9" hidden="1"/>
    <cellStyle name="Followed Hyperlink" xfId="1497" builtinId="9" hidden="1"/>
    <cellStyle name="Followed Hyperlink" xfId="1498" builtinId="9" hidden="1"/>
    <cellStyle name="Followed Hyperlink" xfId="1499" builtinId="9" hidden="1"/>
    <cellStyle name="Followed Hyperlink" xfId="1500" builtinId="9" hidden="1"/>
    <cellStyle name="Followed Hyperlink" xfId="1501" builtinId="9" hidden="1"/>
    <cellStyle name="Followed Hyperlink" xfId="1502" builtinId="9" hidden="1"/>
    <cellStyle name="Followed Hyperlink" xfId="1503" builtinId="9" hidden="1"/>
    <cellStyle name="Followed Hyperlink" xfId="1504" builtinId="9" hidden="1"/>
    <cellStyle name="Followed Hyperlink" xfId="1505" builtinId="9" hidden="1"/>
    <cellStyle name="Followed Hyperlink" xfId="1506" builtinId="9" hidden="1"/>
    <cellStyle name="Followed Hyperlink" xfId="1507" builtinId="9" hidden="1"/>
    <cellStyle name="Followed Hyperlink" xfId="1508" builtinId="9" hidden="1"/>
    <cellStyle name="Followed Hyperlink" xfId="1509" builtinId="9" hidden="1"/>
    <cellStyle name="Followed Hyperlink" xfId="1510" builtinId="9" hidden="1"/>
    <cellStyle name="Followed Hyperlink" xfId="1511" builtinId="9" hidden="1"/>
    <cellStyle name="Followed Hyperlink" xfId="1512" builtinId="9" hidden="1"/>
    <cellStyle name="Followed Hyperlink" xfId="1513" builtinId="9" hidden="1"/>
    <cellStyle name="Followed Hyperlink" xfId="1514" builtinId="9" hidden="1"/>
    <cellStyle name="Followed Hyperlink" xfId="1515" builtinId="9" hidden="1"/>
    <cellStyle name="Followed Hyperlink" xfId="1516" builtinId="9" hidden="1"/>
    <cellStyle name="Followed Hyperlink" xfId="1517" builtinId="9" hidden="1"/>
    <cellStyle name="Followed Hyperlink" xfId="1518" builtinId="9" hidden="1"/>
    <cellStyle name="Followed Hyperlink" xfId="1519" builtinId="9" hidden="1"/>
    <cellStyle name="Followed Hyperlink" xfId="1520" builtinId="9" hidden="1"/>
    <cellStyle name="Followed Hyperlink" xfId="1521" builtinId="9" hidden="1"/>
    <cellStyle name="Followed Hyperlink" xfId="1522" builtinId="9" hidden="1"/>
    <cellStyle name="Followed Hyperlink" xfId="1523" builtinId="9" hidden="1"/>
    <cellStyle name="Followed Hyperlink" xfId="1524" builtinId="9" hidden="1"/>
    <cellStyle name="Followed Hyperlink" xfId="1525" builtinId="9" hidden="1"/>
    <cellStyle name="Followed Hyperlink" xfId="1526" builtinId="9" hidden="1"/>
    <cellStyle name="Followed Hyperlink" xfId="1527" builtinId="9" hidden="1"/>
    <cellStyle name="Followed Hyperlink" xfId="1528" builtinId="9" hidden="1"/>
    <cellStyle name="Followed Hyperlink" xfId="1529" builtinId="9" hidden="1"/>
    <cellStyle name="Followed Hyperlink" xfId="1530" builtinId="9" hidden="1"/>
    <cellStyle name="Followed Hyperlink" xfId="1531" builtinId="9" hidden="1"/>
    <cellStyle name="Followed Hyperlink" xfId="1532" builtinId="9" hidden="1"/>
    <cellStyle name="Followed Hyperlink" xfId="1533" builtinId="9" hidden="1"/>
    <cellStyle name="Followed Hyperlink" xfId="1534" builtinId="9" hidden="1"/>
    <cellStyle name="Followed Hyperlink" xfId="1535" builtinId="9" hidden="1"/>
    <cellStyle name="Followed Hyperlink" xfId="1536" builtinId="9" hidden="1"/>
    <cellStyle name="Followed Hyperlink" xfId="1537" builtinId="9" hidden="1"/>
    <cellStyle name="Followed Hyperlink" xfId="1538" builtinId="9" hidden="1"/>
    <cellStyle name="Followed Hyperlink" xfId="1539" builtinId="9" hidden="1"/>
    <cellStyle name="Followed Hyperlink" xfId="1540" builtinId="9" hidden="1"/>
    <cellStyle name="Followed Hyperlink" xfId="1541" builtinId="9" hidden="1"/>
    <cellStyle name="Followed Hyperlink" xfId="1542" builtinId="9" hidden="1"/>
    <cellStyle name="Followed Hyperlink" xfId="1543" builtinId="9" hidden="1"/>
    <cellStyle name="Followed Hyperlink" xfId="1544" builtinId="9" hidden="1"/>
    <cellStyle name="Followed Hyperlink" xfId="1545" builtinId="9" hidden="1"/>
    <cellStyle name="Followed Hyperlink" xfId="1546" builtinId="9" hidden="1"/>
    <cellStyle name="Followed Hyperlink" xfId="1547" builtinId="9" hidden="1"/>
    <cellStyle name="Followed Hyperlink" xfId="1548" builtinId="9" hidden="1"/>
    <cellStyle name="Followed Hyperlink" xfId="1549" builtinId="9" hidden="1"/>
    <cellStyle name="Followed Hyperlink" xfId="1550" builtinId="9" hidden="1"/>
    <cellStyle name="Followed Hyperlink" xfId="1551" builtinId="9" hidden="1"/>
    <cellStyle name="Followed Hyperlink" xfId="1552" builtinId="9" hidden="1"/>
    <cellStyle name="Followed Hyperlink" xfId="1553" builtinId="9" hidden="1"/>
    <cellStyle name="Followed Hyperlink" xfId="1554" builtinId="9" hidden="1"/>
    <cellStyle name="Followed Hyperlink" xfId="1555" builtinId="9" hidden="1"/>
    <cellStyle name="Followed Hyperlink" xfId="1556" builtinId="9" hidden="1"/>
    <cellStyle name="Followed Hyperlink" xfId="1557" builtinId="9" hidden="1"/>
    <cellStyle name="Followed Hyperlink" xfId="1558" builtinId="9" hidden="1"/>
    <cellStyle name="Followed Hyperlink" xfId="1559" builtinId="9" hidden="1"/>
    <cellStyle name="Followed Hyperlink" xfId="1560" builtinId="9" hidden="1"/>
    <cellStyle name="Followed Hyperlink" xfId="1561" builtinId="9" hidden="1"/>
    <cellStyle name="Followed Hyperlink" xfId="1562" builtinId="9" hidden="1"/>
    <cellStyle name="Followed Hyperlink" xfId="1563" builtinId="9" hidden="1"/>
    <cellStyle name="Followed Hyperlink" xfId="1564" builtinId="9" hidden="1"/>
    <cellStyle name="Followed Hyperlink" xfId="1565" builtinId="9" hidden="1"/>
    <cellStyle name="Followed Hyperlink" xfId="1566" builtinId="9" hidden="1"/>
    <cellStyle name="Followed Hyperlink" xfId="1567" builtinId="9" hidden="1"/>
    <cellStyle name="Followed Hyperlink" xfId="1568" builtinId="9" hidden="1"/>
    <cellStyle name="Followed Hyperlink" xfId="1569" builtinId="9" hidden="1"/>
    <cellStyle name="Followed Hyperlink" xfId="1570" builtinId="9" hidden="1"/>
    <cellStyle name="Followed Hyperlink" xfId="1571" builtinId="9" hidden="1"/>
    <cellStyle name="Followed Hyperlink" xfId="1572" builtinId="9" hidden="1"/>
    <cellStyle name="Followed Hyperlink" xfId="1573" builtinId="9" hidden="1"/>
    <cellStyle name="Followed Hyperlink" xfId="1574" builtinId="9" hidden="1"/>
    <cellStyle name="Followed Hyperlink" xfId="1575" builtinId="9" hidden="1"/>
    <cellStyle name="Followed Hyperlink" xfId="1576" builtinId="9" hidden="1"/>
    <cellStyle name="Followed Hyperlink" xfId="1577" builtinId="9" hidden="1"/>
    <cellStyle name="Followed Hyperlink" xfId="1578" builtinId="9" hidden="1"/>
    <cellStyle name="Followed Hyperlink" xfId="1579" builtinId="9" hidden="1"/>
    <cellStyle name="Followed Hyperlink" xfId="1580" builtinId="9" hidden="1"/>
    <cellStyle name="Followed Hyperlink" xfId="1581" builtinId="9" hidden="1"/>
    <cellStyle name="Followed Hyperlink" xfId="1582" builtinId="9" hidden="1"/>
    <cellStyle name="Followed Hyperlink" xfId="1583" builtinId="9" hidden="1"/>
    <cellStyle name="Followed Hyperlink" xfId="1584" builtinId="9" hidden="1"/>
    <cellStyle name="Followed Hyperlink" xfId="1585" builtinId="9" hidden="1"/>
    <cellStyle name="Followed Hyperlink" xfId="1586" builtinId="9" hidden="1"/>
    <cellStyle name="Followed Hyperlink" xfId="1587" builtinId="9" hidden="1"/>
    <cellStyle name="Followed Hyperlink" xfId="1588" builtinId="9" hidden="1"/>
    <cellStyle name="Followed Hyperlink" xfId="1589" builtinId="9" hidden="1"/>
    <cellStyle name="Followed Hyperlink" xfId="1590" builtinId="9" hidden="1"/>
    <cellStyle name="Followed Hyperlink" xfId="1591" builtinId="9" hidden="1"/>
    <cellStyle name="Followed Hyperlink" xfId="1592" builtinId="9" hidden="1"/>
    <cellStyle name="Followed Hyperlink" xfId="1593" builtinId="9" hidden="1"/>
    <cellStyle name="Followed Hyperlink" xfId="1594" builtinId="9" hidden="1"/>
    <cellStyle name="Followed Hyperlink" xfId="1595" builtinId="9" hidden="1"/>
    <cellStyle name="Followed Hyperlink" xfId="1596" builtinId="9" hidden="1"/>
    <cellStyle name="Followed Hyperlink" xfId="1597" builtinId="9" hidden="1"/>
    <cellStyle name="Followed Hyperlink" xfId="1598" builtinId="9" hidden="1"/>
    <cellStyle name="Followed Hyperlink" xfId="1599" builtinId="9" hidden="1"/>
    <cellStyle name="Followed Hyperlink" xfId="1600" builtinId="9" hidden="1"/>
    <cellStyle name="Followed Hyperlink" xfId="1601" builtinId="9" hidden="1"/>
    <cellStyle name="Followed Hyperlink" xfId="1602" builtinId="9" hidden="1"/>
    <cellStyle name="Followed Hyperlink" xfId="1603" builtinId="9" hidden="1"/>
    <cellStyle name="Followed Hyperlink" xfId="1604" builtinId="9" hidden="1"/>
    <cellStyle name="Followed Hyperlink" xfId="1605" builtinId="9" hidden="1"/>
    <cellStyle name="Followed Hyperlink" xfId="1606" builtinId="9" hidden="1"/>
    <cellStyle name="Followed Hyperlink" xfId="1607" builtinId="9" hidden="1"/>
    <cellStyle name="Followed Hyperlink" xfId="1608" builtinId="9" hidden="1"/>
    <cellStyle name="Followed Hyperlink" xfId="1609" builtinId="9" hidden="1"/>
    <cellStyle name="Followed Hyperlink" xfId="1610" builtinId="9" hidden="1"/>
    <cellStyle name="Followed Hyperlink" xfId="1611" builtinId="9" hidden="1"/>
    <cellStyle name="Followed Hyperlink" xfId="1612" builtinId="9" hidden="1"/>
    <cellStyle name="Followed Hyperlink" xfId="1613" builtinId="9" hidden="1"/>
    <cellStyle name="Followed Hyperlink" xfId="1614" builtinId="9" hidden="1"/>
    <cellStyle name="Followed Hyperlink" xfId="1615" builtinId="9" hidden="1"/>
    <cellStyle name="Followed Hyperlink" xfId="1616" builtinId="9" hidden="1"/>
    <cellStyle name="Followed Hyperlink" xfId="1617" builtinId="9" hidden="1"/>
    <cellStyle name="Followed Hyperlink" xfId="1618" builtinId="9" hidden="1"/>
    <cellStyle name="Followed Hyperlink" xfId="1619" builtinId="9" hidden="1"/>
    <cellStyle name="Followed Hyperlink" xfId="1620" builtinId="9" hidden="1"/>
    <cellStyle name="Followed Hyperlink" xfId="1621" builtinId="9" hidden="1"/>
    <cellStyle name="Followed Hyperlink" xfId="1622" builtinId="9" hidden="1"/>
    <cellStyle name="Followed Hyperlink" xfId="1623" builtinId="9" hidden="1"/>
    <cellStyle name="Followed Hyperlink" xfId="1624" builtinId="9" hidden="1"/>
    <cellStyle name="Followed Hyperlink" xfId="1625" builtinId="9" hidden="1"/>
    <cellStyle name="Followed Hyperlink" xfId="1626" builtinId="9" hidden="1"/>
    <cellStyle name="Followed Hyperlink" xfId="1627" builtinId="9" hidden="1"/>
    <cellStyle name="Followed Hyperlink" xfId="1628" builtinId="9" hidden="1"/>
    <cellStyle name="Followed Hyperlink" xfId="1629" builtinId="9" hidden="1"/>
    <cellStyle name="Followed Hyperlink" xfId="1630" builtinId="9" hidden="1"/>
    <cellStyle name="Followed Hyperlink" xfId="1631" builtinId="9" hidden="1"/>
    <cellStyle name="Followed Hyperlink" xfId="1632" builtinId="9" hidden="1"/>
    <cellStyle name="Followed Hyperlink" xfId="1633" builtinId="9" hidden="1"/>
    <cellStyle name="Followed Hyperlink" xfId="1634" builtinId="9" hidden="1"/>
    <cellStyle name="Followed Hyperlink" xfId="1635" builtinId="9" hidden="1"/>
    <cellStyle name="Followed Hyperlink" xfId="1636" builtinId="9" hidden="1"/>
    <cellStyle name="Followed Hyperlink" xfId="1637" builtinId="9" hidden="1"/>
    <cellStyle name="Followed Hyperlink" xfId="1638" builtinId="9" hidden="1"/>
    <cellStyle name="Followed Hyperlink" xfId="1639" builtinId="9" hidden="1"/>
    <cellStyle name="Followed Hyperlink" xfId="1640" builtinId="9" hidden="1"/>
    <cellStyle name="Followed Hyperlink" xfId="1641" builtinId="9" hidden="1"/>
    <cellStyle name="Followed Hyperlink" xfId="1642" builtinId="9" hidden="1"/>
    <cellStyle name="Followed Hyperlink" xfId="1643" builtinId="9" hidden="1"/>
    <cellStyle name="Followed Hyperlink" xfId="1644" builtinId="9" hidden="1"/>
    <cellStyle name="Followed Hyperlink" xfId="1645" builtinId="9" hidden="1"/>
    <cellStyle name="Followed Hyperlink" xfId="1646" builtinId="9" hidden="1"/>
    <cellStyle name="Followed Hyperlink" xfId="1647" builtinId="9" hidden="1"/>
    <cellStyle name="Followed Hyperlink" xfId="1648" builtinId="9" hidden="1"/>
    <cellStyle name="Followed Hyperlink" xfId="1649" builtinId="9" hidden="1"/>
    <cellStyle name="Followed Hyperlink" xfId="1650" builtinId="9" hidden="1"/>
    <cellStyle name="Followed Hyperlink" xfId="1651" builtinId="9" hidden="1"/>
    <cellStyle name="Followed Hyperlink" xfId="1652" builtinId="9" hidden="1"/>
    <cellStyle name="Followed Hyperlink" xfId="1653" builtinId="9" hidden="1"/>
    <cellStyle name="Followed Hyperlink" xfId="1654" builtinId="9" hidden="1"/>
    <cellStyle name="Followed Hyperlink" xfId="1655" builtinId="9" hidden="1"/>
    <cellStyle name="Followed Hyperlink" xfId="1656" builtinId="9" hidden="1"/>
    <cellStyle name="Followed Hyperlink" xfId="1657" builtinId="9" hidden="1"/>
    <cellStyle name="Followed Hyperlink" xfId="1658" builtinId="9" hidden="1"/>
    <cellStyle name="Followed Hyperlink" xfId="1659" builtinId="9" hidden="1"/>
    <cellStyle name="Followed Hyperlink" xfId="1660" builtinId="9" hidden="1"/>
    <cellStyle name="Followed Hyperlink" xfId="1661" builtinId="9" hidden="1"/>
    <cellStyle name="Followed Hyperlink" xfId="1662" builtinId="9" hidden="1"/>
    <cellStyle name="Followed Hyperlink" xfId="1663" builtinId="9" hidden="1"/>
    <cellStyle name="Followed Hyperlink" xfId="1664" builtinId="9" hidden="1"/>
    <cellStyle name="Followed Hyperlink" xfId="1665" builtinId="9" hidden="1"/>
    <cellStyle name="Followed Hyperlink" xfId="1666" builtinId="9" hidden="1"/>
    <cellStyle name="Followed Hyperlink" xfId="1667" builtinId="9" hidden="1"/>
    <cellStyle name="Followed Hyperlink" xfId="1668" builtinId="9" hidden="1"/>
    <cellStyle name="Followed Hyperlink" xfId="1669" builtinId="9" hidden="1"/>
    <cellStyle name="Followed Hyperlink" xfId="1670" builtinId="9" hidden="1"/>
    <cellStyle name="Followed Hyperlink" xfId="1671" builtinId="9" hidden="1"/>
    <cellStyle name="Followed Hyperlink" xfId="1672" builtinId="9" hidden="1"/>
    <cellStyle name="Followed Hyperlink" xfId="1673" builtinId="9" hidden="1"/>
    <cellStyle name="Followed Hyperlink" xfId="1674" builtinId="9" hidden="1"/>
    <cellStyle name="Followed Hyperlink" xfId="1675" builtinId="9" hidden="1"/>
    <cellStyle name="Followed Hyperlink" xfId="1676" builtinId="9" hidden="1"/>
    <cellStyle name="Followed Hyperlink" xfId="1677" builtinId="9" hidden="1"/>
    <cellStyle name="Followed Hyperlink" xfId="1678" builtinId="9" hidden="1"/>
    <cellStyle name="Followed Hyperlink" xfId="1679" builtinId="9" hidden="1"/>
    <cellStyle name="Followed Hyperlink" xfId="1680" builtinId="9" hidden="1"/>
    <cellStyle name="Followed Hyperlink" xfId="1681" builtinId="9" hidden="1"/>
    <cellStyle name="Followed Hyperlink" xfId="1682" builtinId="9" hidden="1"/>
    <cellStyle name="Followed Hyperlink" xfId="1683" builtinId="9" hidden="1"/>
    <cellStyle name="Followed Hyperlink" xfId="1684" builtinId="9" hidden="1"/>
    <cellStyle name="Followed Hyperlink" xfId="1685" builtinId="9" hidden="1"/>
    <cellStyle name="Followed Hyperlink" xfId="1686" builtinId="9" hidden="1"/>
    <cellStyle name="Followed Hyperlink" xfId="1687" builtinId="9" hidden="1"/>
    <cellStyle name="Followed Hyperlink" xfId="1688" builtinId="9" hidden="1"/>
    <cellStyle name="Followed Hyperlink" xfId="1689" builtinId="9" hidden="1"/>
    <cellStyle name="Followed Hyperlink" xfId="1690" builtinId="9" hidden="1"/>
    <cellStyle name="Followed Hyperlink" xfId="1691" builtinId="9" hidden="1"/>
    <cellStyle name="Followed Hyperlink" xfId="1692" builtinId="9" hidden="1"/>
    <cellStyle name="Followed Hyperlink" xfId="1693" builtinId="9" hidden="1"/>
    <cellStyle name="Followed Hyperlink" xfId="1694" builtinId="9" hidden="1"/>
    <cellStyle name="Followed Hyperlink" xfId="1695" builtinId="9" hidden="1"/>
    <cellStyle name="Followed Hyperlink" xfId="1696" builtinId="9" hidden="1"/>
    <cellStyle name="Followed Hyperlink" xfId="1697" builtinId="9" hidden="1"/>
    <cellStyle name="Followed Hyperlink" xfId="1698" builtinId="9" hidden="1"/>
    <cellStyle name="Followed Hyperlink" xfId="1699" builtinId="9" hidden="1"/>
    <cellStyle name="Followed Hyperlink" xfId="1700" builtinId="9" hidden="1"/>
    <cellStyle name="Followed Hyperlink" xfId="1701" builtinId="9" hidden="1"/>
    <cellStyle name="Followed Hyperlink" xfId="1702" builtinId="9" hidden="1"/>
    <cellStyle name="Followed Hyperlink" xfId="1703" builtinId="9" hidden="1"/>
    <cellStyle name="Followed Hyperlink" xfId="1704" builtinId="9" hidden="1"/>
    <cellStyle name="Followed Hyperlink" xfId="1705" builtinId="9" hidden="1"/>
    <cellStyle name="Followed Hyperlink" xfId="1706" builtinId="9" hidden="1"/>
    <cellStyle name="Followed Hyperlink" xfId="1707" builtinId="9" hidden="1"/>
    <cellStyle name="Followed Hyperlink" xfId="1708" builtinId="9" hidden="1"/>
    <cellStyle name="Followed Hyperlink" xfId="1709" builtinId="9" hidden="1"/>
    <cellStyle name="Followed Hyperlink" xfId="1710" builtinId="9" hidden="1"/>
    <cellStyle name="Followed Hyperlink" xfId="1711" builtinId="9" hidden="1"/>
    <cellStyle name="Followed Hyperlink" xfId="1712" builtinId="9" hidden="1"/>
    <cellStyle name="Followed Hyperlink" xfId="1713" builtinId="9" hidden="1"/>
    <cellStyle name="Followed Hyperlink" xfId="1714" builtinId="9" hidden="1"/>
    <cellStyle name="Followed Hyperlink" xfId="1715" builtinId="9" hidden="1"/>
    <cellStyle name="Followed Hyperlink" xfId="1716" builtinId="9" hidden="1"/>
    <cellStyle name="Followed Hyperlink" xfId="1717" builtinId="9" hidden="1"/>
    <cellStyle name="Followed Hyperlink" xfId="1718" builtinId="9" hidden="1"/>
    <cellStyle name="Followed Hyperlink" xfId="1719" builtinId="9" hidden="1"/>
    <cellStyle name="Followed Hyperlink" xfId="1720" builtinId="9" hidden="1"/>
    <cellStyle name="Followed Hyperlink" xfId="1721" builtinId="9" hidden="1"/>
    <cellStyle name="Followed Hyperlink" xfId="1722" builtinId="9" hidden="1"/>
    <cellStyle name="Followed Hyperlink" xfId="1723" builtinId="9" hidden="1"/>
    <cellStyle name="Followed Hyperlink" xfId="1724" builtinId="9" hidden="1"/>
    <cellStyle name="Followed Hyperlink" xfId="1725" builtinId="9" hidden="1"/>
    <cellStyle name="Followed Hyperlink" xfId="1726" builtinId="9" hidden="1"/>
    <cellStyle name="Followed Hyperlink" xfId="1727" builtinId="9" hidden="1"/>
    <cellStyle name="Followed Hyperlink" xfId="1728" builtinId="9" hidden="1"/>
    <cellStyle name="Followed Hyperlink" xfId="1729" builtinId="9" hidden="1"/>
    <cellStyle name="Followed Hyperlink" xfId="1730" builtinId="9" hidden="1"/>
    <cellStyle name="Followed Hyperlink" xfId="1731" builtinId="9" hidden="1"/>
    <cellStyle name="Followed Hyperlink" xfId="1732" builtinId="9" hidden="1"/>
    <cellStyle name="Followed Hyperlink" xfId="1733" builtinId="9" hidden="1"/>
    <cellStyle name="Followed Hyperlink" xfId="1734" builtinId="9" hidden="1"/>
    <cellStyle name="Followed Hyperlink" xfId="1735" builtinId="9" hidden="1"/>
    <cellStyle name="Followed Hyperlink" xfId="1736" builtinId="9" hidden="1"/>
    <cellStyle name="Followed Hyperlink" xfId="1737" builtinId="9" hidden="1"/>
    <cellStyle name="Followed Hyperlink" xfId="1738" builtinId="9" hidden="1"/>
    <cellStyle name="Followed Hyperlink" xfId="1739" builtinId="9" hidden="1"/>
    <cellStyle name="Followed Hyperlink" xfId="1740" builtinId="9" hidden="1"/>
    <cellStyle name="Followed Hyperlink" xfId="1741" builtinId="9" hidden="1"/>
    <cellStyle name="Followed Hyperlink" xfId="1742" builtinId="9" hidden="1"/>
    <cellStyle name="Followed Hyperlink" xfId="1743" builtinId="9" hidden="1"/>
    <cellStyle name="Followed Hyperlink" xfId="1744" builtinId="9" hidden="1"/>
    <cellStyle name="Followed Hyperlink" xfId="1745" builtinId="9" hidden="1"/>
    <cellStyle name="Followed Hyperlink" xfId="1746" builtinId="9" hidden="1"/>
    <cellStyle name="Followed Hyperlink" xfId="1747" builtinId="9" hidden="1"/>
    <cellStyle name="Followed Hyperlink" xfId="1748" builtinId="9" hidden="1"/>
    <cellStyle name="Followed Hyperlink" xfId="1749" builtinId="9" hidden="1"/>
    <cellStyle name="Followed Hyperlink" xfId="1750" builtinId="9" hidden="1"/>
    <cellStyle name="Followed Hyperlink" xfId="1751" builtinId="9" hidden="1"/>
    <cellStyle name="Followed Hyperlink" xfId="1752" builtinId="9" hidden="1"/>
    <cellStyle name="Followed Hyperlink" xfId="1753" builtinId="9" hidden="1"/>
    <cellStyle name="Followed Hyperlink" xfId="1754" builtinId="9" hidden="1"/>
    <cellStyle name="Followed Hyperlink" xfId="1755" builtinId="9" hidden="1"/>
    <cellStyle name="Followed Hyperlink" xfId="1756" builtinId="9" hidden="1"/>
    <cellStyle name="Followed Hyperlink" xfId="1757" builtinId="9" hidden="1"/>
    <cellStyle name="Followed Hyperlink" xfId="1758" builtinId="9" hidden="1"/>
    <cellStyle name="Followed Hyperlink" xfId="1759" builtinId="9" hidden="1"/>
    <cellStyle name="Followed Hyperlink" xfId="1760" builtinId="9" hidden="1"/>
    <cellStyle name="Followed Hyperlink" xfId="1761" builtinId="9" hidden="1"/>
    <cellStyle name="Followed Hyperlink" xfId="1762" builtinId="9" hidden="1"/>
    <cellStyle name="Followed Hyperlink" xfId="1763" builtinId="9" hidden="1"/>
    <cellStyle name="Followed Hyperlink" xfId="1764" builtinId="9" hidden="1"/>
    <cellStyle name="Followed Hyperlink" xfId="1765" builtinId="9" hidden="1"/>
    <cellStyle name="Followed Hyperlink" xfId="1766" builtinId="9" hidden="1"/>
    <cellStyle name="Followed Hyperlink" xfId="1767" builtinId="9" hidden="1"/>
    <cellStyle name="Followed Hyperlink" xfId="1768" builtinId="9" hidden="1"/>
    <cellStyle name="Followed Hyperlink" xfId="1769" builtinId="9" hidden="1"/>
    <cellStyle name="Followed Hyperlink" xfId="1770" builtinId="9" hidden="1"/>
    <cellStyle name="Followed Hyperlink" xfId="1771" builtinId="9" hidden="1"/>
    <cellStyle name="Followed Hyperlink" xfId="1772" builtinId="9" hidden="1"/>
    <cellStyle name="Followed Hyperlink" xfId="1773" builtinId="9" hidden="1"/>
    <cellStyle name="Followed Hyperlink" xfId="1774" builtinId="9" hidden="1"/>
    <cellStyle name="Followed Hyperlink" xfId="1775" builtinId="9" hidden="1"/>
    <cellStyle name="Followed Hyperlink" xfId="1776" builtinId="9" hidden="1"/>
    <cellStyle name="Followed Hyperlink" xfId="1777" builtinId="9" hidden="1"/>
    <cellStyle name="Followed Hyperlink" xfId="1778" builtinId="9" hidden="1"/>
    <cellStyle name="Followed Hyperlink" xfId="1779" builtinId="9" hidden="1"/>
    <cellStyle name="Followed Hyperlink" xfId="178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cellStyle name="Normal" xfId="0" builtinId="0"/>
  </cellStyles>
  <dxfs count="2">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2</xdr:col>
      <xdr:colOff>12700</xdr:colOff>
      <xdr:row>0</xdr:row>
      <xdr:rowOff>50800</xdr:rowOff>
    </xdr:from>
    <xdr:to>
      <xdr:col>3</xdr:col>
      <xdr:colOff>850900</xdr:colOff>
      <xdr:row>2</xdr:row>
      <xdr:rowOff>88900</xdr:rowOff>
    </xdr:to>
    <xdr:sp macro="[0]!Sheet2.CreateDotHFiles_WNAME" textlink="">
      <xdr:nvSpPr>
        <xdr:cNvPr id="2" name="Bevel 1"/>
        <xdr:cNvSpPr/>
      </xdr:nvSpPr>
      <xdr:spPr>
        <a:xfrm>
          <a:off x="2120900" y="50800"/>
          <a:ext cx="3225800" cy="419100"/>
        </a:xfrm>
        <a:prstGeom prst="bevel">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US" sz="1200" baseline="0">
              <a:latin typeface="+mn-lt"/>
            </a:rPr>
            <a:t>Output Header (.h) + Implementation (.m) Files</a:t>
          </a:r>
        </a:p>
      </xdr:txBody>
    </xdr:sp>
    <xdr:clientData/>
  </xdr:twoCellAnchor>
  <xdr:twoCellAnchor>
    <xdr:from>
      <xdr:col>3</xdr:col>
      <xdr:colOff>1117600</xdr:colOff>
      <xdr:row>0</xdr:row>
      <xdr:rowOff>63500</xdr:rowOff>
    </xdr:from>
    <xdr:to>
      <xdr:col>3</xdr:col>
      <xdr:colOff>2616200</xdr:colOff>
      <xdr:row>2</xdr:row>
      <xdr:rowOff>88900</xdr:rowOff>
    </xdr:to>
    <xdr:sp macro="[0]!Sheet2.Copy_Step_1" textlink="">
      <xdr:nvSpPr>
        <xdr:cNvPr id="4" name="Bevel 3"/>
        <xdr:cNvSpPr/>
      </xdr:nvSpPr>
      <xdr:spPr>
        <a:xfrm>
          <a:off x="5613400" y="63500"/>
          <a:ext cx="1498600" cy="406400"/>
        </a:xfrm>
        <a:prstGeom prst="bevel">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200"/>
            <a:t>Copy Step 1</a:t>
          </a:r>
        </a:p>
      </xdr:txBody>
    </xdr:sp>
    <xdr:clientData/>
  </xdr:twoCellAnchor>
  <xdr:twoCellAnchor>
    <xdr:from>
      <xdr:col>3</xdr:col>
      <xdr:colOff>2755900</xdr:colOff>
      <xdr:row>0</xdr:row>
      <xdr:rowOff>63500</xdr:rowOff>
    </xdr:from>
    <xdr:to>
      <xdr:col>4</xdr:col>
      <xdr:colOff>546100</xdr:colOff>
      <xdr:row>2</xdr:row>
      <xdr:rowOff>101600</xdr:rowOff>
    </xdr:to>
    <xdr:sp macro="[0]!Sheet2.Copy_Step_2" textlink="">
      <xdr:nvSpPr>
        <xdr:cNvPr id="5" name="Bevel 4"/>
        <xdr:cNvSpPr/>
      </xdr:nvSpPr>
      <xdr:spPr>
        <a:xfrm>
          <a:off x="7251700" y="63500"/>
          <a:ext cx="1498600" cy="419100"/>
        </a:xfrm>
        <a:prstGeom prst="bevel">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200"/>
            <a:t>Copy Step 2</a:t>
          </a:r>
        </a:p>
      </xdr:txBody>
    </xdr:sp>
    <xdr:clientData/>
  </xdr:twoCellAnchor>
  <xdr:twoCellAnchor>
    <xdr:from>
      <xdr:col>4</xdr:col>
      <xdr:colOff>698500</xdr:colOff>
      <xdr:row>0</xdr:row>
      <xdr:rowOff>63500</xdr:rowOff>
    </xdr:from>
    <xdr:to>
      <xdr:col>4</xdr:col>
      <xdr:colOff>2184400</xdr:colOff>
      <xdr:row>2</xdr:row>
      <xdr:rowOff>101600</xdr:rowOff>
    </xdr:to>
    <xdr:sp macro="[0]!Sheet2.Copy_Step_3" textlink="">
      <xdr:nvSpPr>
        <xdr:cNvPr id="6" name="Bevel 5"/>
        <xdr:cNvSpPr/>
      </xdr:nvSpPr>
      <xdr:spPr>
        <a:xfrm>
          <a:off x="8902700" y="63500"/>
          <a:ext cx="1485900" cy="419100"/>
        </a:xfrm>
        <a:prstGeom prst="bevel">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200"/>
            <a:t>Copy Step 3</a:t>
          </a:r>
        </a:p>
      </xdr:txBody>
    </xdr:sp>
    <xdr:clientData/>
  </xdr:twoCellAnchor>
  <xdr:twoCellAnchor>
    <xdr:from>
      <xdr:col>5</xdr:col>
      <xdr:colOff>76200</xdr:colOff>
      <xdr:row>0</xdr:row>
      <xdr:rowOff>63500</xdr:rowOff>
    </xdr:from>
    <xdr:to>
      <xdr:col>5</xdr:col>
      <xdr:colOff>1549400</xdr:colOff>
      <xdr:row>2</xdr:row>
      <xdr:rowOff>76200</xdr:rowOff>
    </xdr:to>
    <xdr:sp macro="[0]!Sheet2.Copy_Step_4" textlink="">
      <xdr:nvSpPr>
        <xdr:cNvPr id="7" name="Bevel 6"/>
        <xdr:cNvSpPr/>
      </xdr:nvSpPr>
      <xdr:spPr>
        <a:xfrm>
          <a:off x="10515600" y="63500"/>
          <a:ext cx="1473200" cy="393700"/>
        </a:xfrm>
        <a:prstGeom prst="bevel">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a:t>Copy Step 4</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tevemorse.org/jcal/latlonbatch.html"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apple.com" TargetMode="External"/><Relationship Id="rId2" Type="http://schemas.openxmlformats.org/officeDocument/2006/relationships/hyperlink" Target="http://www.google.com" TargetMode="External"/><Relationship Id="rId3"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C31"/>
  <sheetViews>
    <sheetView tabSelected="1" workbookViewId="0">
      <selection activeCell="A29" sqref="A29:XFD29"/>
    </sheetView>
  </sheetViews>
  <sheetFormatPr baseColWidth="10" defaultRowHeight="13" x14ac:dyDescent="0"/>
  <cols>
    <col min="1" max="1" width="143.6640625" style="35" customWidth="1"/>
    <col min="2" max="16384" width="10.83203125" style="35"/>
  </cols>
  <sheetData>
    <row r="1" spans="1:1" ht="38" customHeight="1">
      <c r="A1" s="34" t="s">
        <v>85</v>
      </c>
    </row>
    <row r="2" spans="1:1" ht="16" customHeight="1">
      <c r="A2" s="35" t="s">
        <v>86</v>
      </c>
    </row>
    <row r="3" spans="1:1" ht="16" customHeight="1">
      <c r="A3" s="35" t="s">
        <v>102</v>
      </c>
    </row>
    <row r="4" spans="1:1" ht="16" customHeight="1"/>
    <row r="5" spans="1:1" ht="24" customHeight="1">
      <c r="A5" s="36" t="s">
        <v>104</v>
      </c>
    </row>
    <row r="6" spans="1:1" ht="16" customHeight="1">
      <c r="A6" s="37" t="s">
        <v>103</v>
      </c>
    </row>
    <row r="7" spans="1:1" ht="16" customHeight="1">
      <c r="A7" s="35" t="s">
        <v>88</v>
      </c>
    </row>
    <row r="8" spans="1:1" ht="16" customHeight="1">
      <c r="A8" s="35" t="s">
        <v>89</v>
      </c>
    </row>
    <row r="9" spans="1:1" ht="16" customHeight="1">
      <c r="A9" s="35" t="s">
        <v>90</v>
      </c>
    </row>
    <row r="10" spans="1:1" ht="16" customHeight="1">
      <c r="A10" s="35" t="s">
        <v>91</v>
      </c>
    </row>
    <row r="11" spans="1:1" ht="16" customHeight="1">
      <c r="A11" s="35" t="s">
        <v>92</v>
      </c>
    </row>
    <row r="12" spans="1:1" ht="16" customHeight="1">
      <c r="A12" s="35" t="s">
        <v>94</v>
      </c>
    </row>
    <row r="13" spans="1:1" ht="16" customHeight="1">
      <c r="A13" s="38" t="s">
        <v>93</v>
      </c>
    </row>
    <row r="14" spans="1:1" ht="16" customHeight="1">
      <c r="A14" s="35" t="s">
        <v>95</v>
      </c>
    </row>
    <row r="15" spans="1:1" ht="16" customHeight="1">
      <c r="A15" s="35" t="s">
        <v>96</v>
      </c>
    </row>
    <row r="16" spans="1:1" ht="16" customHeight="1">
      <c r="A16" s="35" t="s">
        <v>97</v>
      </c>
    </row>
    <row r="17" spans="1:3" ht="16" customHeight="1">
      <c r="A17" s="35" t="s">
        <v>98</v>
      </c>
    </row>
    <row r="18" spans="1:3" ht="16" customHeight="1"/>
    <row r="19" spans="1:3" ht="16" customHeight="1"/>
    <row r="20" spans="1:3" ht="22" customHeight="1">
      <c r="A20" s="36" t="s">
        <v>99</v>
      </c>
    </row>
    <row r="21" spans="1:3" ht="16" customHeight="1">
      <c r="A21" s="35" t="s">
        <v>105</v>
      </c>
    </row>
    <row r="22" spans="1:3" ht="16" customHeight="1"/>
    <row r="23" spans="1:3" ht="16" customHeight="1">
      <c r="A23" s="39" t="s">
        <v>87</v>
      </c>
    </row>
    <row r="24" spans="1:3" ht="16" customHeight="1">
      <c r="A24" s="35" t="s">
        <v>62</v>
      </c>
      <c r="B24" s="35" t="s">
        <v>63</v>
      </c>
      <c r="C24" s="35" t="s">
        <v>101</v>
      </c>
    </row>
    <row r="25" spans="1:3" ht="16" customHeight="1">
      <c r="A25" s="35" t="s">
        <v>64</v>
      </c>
      <c r="B25" s="35" t="s">
        <v>65</v>
      </c>
      <c r="C25" s="35" t="s">
        <v>100</v>
      </c>
    </row>
    <row r="26" spans="1:3" ht="16" customHeight="1"/>
    <row r="27" spans="1:3" ht="16" customHeight="1"/>
    <row r="28" spans="1:3" ht="16" customHeight="1"/>
    <row r="29" spans="1:3" ht="25" customHeight="1">
      <c r="A29" s="36" t="s">
        <v>108</v>
      </c>
    </row>
    <row r="31" spans="1:3" ht="260">
      <c r="A31" s="51" t="s">
        <v>107</v>
      </c>
    </row>
  </sheetData>
  <hyperlinks>
    <hyperlink ref="A13" r:id="rId1"/>
  </hyperlink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R809"/>
  <sheetViews>
    <sheetView workbookViewId="0">
      <selection activeCell="A3" sqref="A3"/>
    </sheetView>
  </sheetViews>
  <sheetFormatPr baseColWidth="10" defaultRowHeight="15" x14ac:dyDescent="0"/>
  <cols>
    <col min="1" max="1" width="6.33203125" customWidth="1"/>
    <col min="2" max="2" width="21.33203125" customWidth="1"/>
    <col min="3" max="3" width="31.33203125" style="25" customWidth="1"/>
    <col min="4" max="4" width="48.6640625" style="25" bestFit="1" customWidth="1"/>
    <col min="5" max="5" width="29.33203125" style="25" customWidth="1"/>
    <col min="6" max="6" width="26" style="25" customWidth="1"/>
    <col min="7" max="7" width="13.33203125" style="25" customWidth="1"/>
    <col min="8" max="8" width="11.6640625" style="25" customWidth="1"/>
    <col min="9" max="9" width="7" customWidth="1"/>
    <col min="10" max="10" width="37.6640625" customWidth="1"/>
    <col min="11" max="11" width="38" customWidth="1"/>
    <col min="12" max="12" width="34.1640625" style="24" customWidth="1"/>
    <col min="13" max="13" width="16.6640625" style="24" customWidth="1"/>
    <col min="14" max="14" width="13.83203125" style="24" bestFit="1" customWidth="1"/>
    <col min="15" max="15" width="14.33203125" style="24" customWidth="1"/>
    <col min="16" max="16" width="15.1640625" style="24" customWidth="1"/>
    <col min="17" max="17" width="16.6640625" style="24" customWidth="1"/>
  </cols>
  <sheetData>
    <row r="1" spans="1:18">
      <c r="A1" s="1" t="s">
        <v>39</v>
      </c>
      <c r="B1" s="1"/>
      <c r="L1"/>
      <c r="M1"/>
      <c r="N1"/>
      <c r="O1"/>
      <c r="P1"/>
      <c r="Q1"/>
    </row>
    <row r="2" spans="1:18">
      <c r="A2" s="1" t="s">
        <v>106</v>
      </c>
      <c r="B2" s="1"/>
      <c r="L2"/>
      <c r="M2"/>
      <c r="N2"/>
      <c r="O2"/>
      <c r="P2"/>
      <c r="Q2"/>
    </row>
    <row r="3" spans="1:18">
      <c r="L3"/>
      <c r="M3"/>
      <c r="N3"/>
      <c r="O3"/>
      <c r="P3"/>
      <c r="Q3"/>
    </row>
    <row r="4" spans="1:18">
      <c r="A4" s="1" t="s">
        <v>1</v>
      </c>
      <c r="B4" s="1" t="s">
        <v>0</v>
      </c>
      <c r="C4" s="26" t="s">
        <v>42</v>
      </c>
      <c r="D4" s="26" t="s">
        <v>41</v>
      </c>
      <c r="E4" s="26" t="s">
        <v>43</v>
      </c>
      <c r="F4" s="26" t="s">
        <v>46</v>
      </c>
      <c r="G4" s="26" t="s">
        <v>2</v>
      </c>
      <c r="H4" s="26" t="s">
        <v>3</v>
      </c>
      <c r="I4" s="6"/>
      <c r="J4" s="1" t="s">
        <v>21</v>
      </c>
      <c r="K4" s="1" t="s">
        <v>32</v>
      </c>
      <c r="L4" s="21" t="s">
        <v>16</v>
      </c>
      <c r="M4" s="21" t="s">
        <v>20</v>
      </c>
      <c r="N4" s="21" t="s">
        <v>59</v>
      </c>
      <c r="O4" s="21" t="s">
        <v>60</v>
      </c>
      <c r="P4" s="21" t="s">
        <v>69</v>
      </c>
      <c r="Q4" s="21" t="s">
        <v>70</v>
      </c>
      <c r="R4" s="7" t="s">
        <v>40</v>
      </c>
    </row>
    <row r="5" spans="1:18" ht="17" customHeight="1">
      <c r="A5" s="4">
        <f>1</f>
        <v>1</v>
      </c>
      <c r="B5" s="2" t="str">
        <f>CONCATENATE("venue",A5,"Annotation")</f>
        <v>venue1Annotation</v>
      </c>
      <c r="C5" s="27" t="s">
        <v>4</v>
      </c>
      <c r="D5" s="28" t="s">
        <v>84</v>
      </c>
      <c r="E5" s="31" t="s">
        <v>44</v>
      </c>
      <c r="F5" s="32" t="s">
        <v>49</v>
      </c>
      <c r="G5" s="33">
        <v>40.748367999999999</v>
      </c>
      <c r="H5" s="33">
        <v>-73.984627000000003</v>
      </c>
      <c r="I5" s="6"/>
      <c r="J5" t="str">
        <f>CONCATENATE("Venue",A5,"Annotation")</f>
        <v>Venue1Annotation</v>
      </c>
      <c r="K5" t="str">
        <f>CONCATENATE("Venue",A5)</f>
        <v>Venue1</v>
      </c>
      <c r="L5" s="24" t="str">
        <f>IF(G5&gt;0,CONCATENATE(Defaults!$B$6,'Data Set'!J5,Defaults!$C$6), " ")</f>
        <v>/*_x000D_     _x000D_ Abstract: The custom MKAnnotation object representing a venue._x000D__x000D_ */_x000D__x000D_#import &lt;MapKit/MapKit.h&gt;_x000D__x000D_@interface  Venue1Annotation: NSObject &lt;MKAnnotation&gt;_x000D_{_x000D_    NSNumber *latitude;_x000D_    NSNumber *longitude;_x000D_}_x000D__x000D_@property (nonatomic, retain) NSNumber *latitude;_x000D_@property (nonatomic, retain) NSNumber *longitude;_x000D__x000D_@end_x000D__x000D_</v>
      </c>
      <c r="M5" s="24" t="str">
        <f>CONCATENATE(Defaults!$D$6,'Data Set'!J5,Defaults!$E$6,'Data Set'!J5,Defaults!$F$6,G5,Defaults!$G$6,H5,Defaults!$H$6,C5,Defaults!$I$6,D5,Defaults!$J$6)</f>
        <v>/*_x000D_     _x000D_ Abstract: The custom MKAnnotation object representing a venue._x000D_ _x000D_ */_x000D__x000D_#import "Venue1Annotation.h"_x000D__x000D_@implementation Venue1Annotation_x000D__x000D_@synthesize latitude;_x000D_@synthesize longitude;_x000D__x000D__x000D_- (CLLocationCoordinate2D)coordinate;_x000D_{_x000D_    CLLocationCoordinate2D theCoordinate;_x000D_    theCoordinate.latitude = 40.748368;_x000D_    theCoordinate.longitude = -73.984627;_x000D_    return theCoordinate; _x000D_}_x000D__x000D__x000D_- (NSString *)title_x000D_{_x000D_    return @"Empire State Building";_x000D_}_x000D__x000D_// optional_x000D_- (NSString *)subtitle_x000D_{_x000D_    return @"Capable of 16 million different color combos";_x000D_}_x000D__x000D__x000D_@end_x000D_</v>
      </c>
      <c r="N5" s="24" t="str">
        <f>CONCATENATE(Defaults!$B$9,'Data Set'!J5,Defaults!$C$9)</f>
        <v>#import "Venue1Annotation.h"</v>
      </c>
      <c r="O5" s="24" t="str">
        <f>CONCATENATE(Defaults!$D$9,'Data Set'!K5,Defaults!$E$9,'Data Set'!J5,Defaults!$F$9,B5,Defaults!$G$9,'Data Set'!J5,Defaults!$H$9, Defaults!$H$10,'Data Set'!B5,Defaults!$I$9,Defaults!$J$9)</f>
        <v xml:space="preserve">    // annotation for Venue1_x000D_    Venue1Annotation *venue1Annotation = [[Venue1Annotation alloc] init];_x000D_    [self.venueAnnotationArray insertObject:venue1Annotation atIndex:kBuildingAnnotationIndex];_x000D_    _x000D_</v>
      </c>
      <c r="P5" s="24" t="str">
        <f>CONCATENATE(Defaults!$B$12,'Data Set'!K5,Defaults!$C$12,E5,Defaults!$D$12)</f>
        <v>- (void)showVenue1Details:(id)sender_x000D_{_x000D_    // set the URL that we want to display on the detail view for this annotation_x000D_    currentURL = @"http://www.apple.com";_x000D_    _x000D_    // perform the segue (this will load the perform segue method where data will pass through)_x000D_    [self performSegueWithIdentifier: @"detailSegue" sender: self];_x000D_}_x000D_</v>
      </c>
      <c r="Q5" s="24" t="str">
        <f>IF(ROW(Q5)=5,CONCATENATE(Defaults!$B$17,'Data Set'!J5,Defaults!$C$16,K5,Defaults!$D$16,J5,Defaults!$E$16,B5,Defaults!$F$16,J5,Defaults!$G$16,J5,Defaults!$H$16,'Using Venue Database'!$B$24,Defaults!$H$17,'Using Venue Database'!$B$25,Defaults!$H$18,K5,Defaults!$I$16),CONCATENATE(Defaults!$B$16,'Data Set'!J5,Defaults!$C$16,K5,Defaults!$D$16,J5,Defaults!$E$16,B5,Defaults!$F$16,J5,Defaults!$G$16,J5,Defaults!$H$16,'Using Venue Database'!$B$24,Defaults!$H$17,'Using Venue Database'!$B$25,Defaults!$H$18,K5,Defaults!$I$16))</f>
        <v>// start copying from here _x000D_    if ([annotation isKindOfClass:[Venue1Annotation class]])   // for Venue1_x000D_    {_x000D_  // try to dequeue an existing pin view first_x000D_        static NSString* Venue1AnnotationIdentifier = @"venue1AnnotationIdentifier";_x000D_        MKPinAnnotationView* pinView = (MKPinAnnotationView *)_x000D_  [mapView dequeueReusableAnnotationViewWithIdentifier:Venue1AnnotationIdentifier];_x000D_        if (!pinView)_x000D_        {_x000D_            // if an existing pin view was not available, create one_x000D_            MKPinAnnotationView* customPinView = [[MKPinAnnotationView alloc]_x000D_               initWithAnnotation:annotation reuseIdentifier:Venue1AnnotationIdentifier];_x000D_            customPinView.pinColor = MKPinAnnotationColorRed;_x000D_            customPinView.animatesDrop = NO;_x000D_            customPinView.canShowCallout = YES;_x000D_            _x000D_            UIButton* rightButton = [UIButton buttonWithType:UIButtonTypeDetailDisclosure];_x000D_            [rightButton addTarget:self_x000D_                            action:@selector(showVenue1Details:)_x000D_                  forControlEvents:UIControlEventTouchUpInside];_x000D_            customPinView.rightCalloutAccessoryView = rightButton;_x000D_   _x000D_            return customPinView;_x000D_        }_x000D_        else_x000D_        {_x000D_            pinView.annotation = annotation;_x000D_        }_x000D_        return pinView;_x000D_    }_x000D_ // stop copying here_x000D_</v>
      </c>
      <c r="R5" s="7" t="s">
        <v>40</v>
      </c>
    </row>
    <row r="6" spans="1:18" ht="17" customHeight="1">
      <c r="A6" s="4">
        <f>A5+1</f>
        <v>2</v>
      </c>
      <c r="B6" s="2" t="str">
        <f>CONCATENATE("venue",A6,"Annotation")</f>
        <v>venue2Annotation</v>
      </c>
      <c r="C6" s="27" t="s">
        <v>47</v>
      </c>
      <c r="D6" s="28" t="s">
        <v>48</v>
      </c>
      <c r="E6" s="31" t="s">
        <v>45</v>
      </c>
      <c r="F6" s="32" t="s">
        <v>50</v>
      </c>
      <c r="G6" s="33">
        <v>40.741022000000001</v>
      </c>
      <c r="H6" s="33">
        <v>-73.989947000000001</v>
      </c>
      <c r="I6" s="6"/>
      <c r="J6" t="str">
        <f>CONCATENATE("Venue",A6,"Annotation")</f>
        <v>Venue2Annotation</v>
      </c>
      <c r="K6" t="str">
        <f>CONCATENATE("Venue",A6)</f>
        <v>Venue2</v>
      </c>
      <c r="L6" s="24" t="str">
        <f>IF(G6&gt;0,CONCATENATE(Defaults!$B$6,'Data Set'!J6,Defaults!$C$6), " ")</f>
        <v>/*_x000D_     _x000D_ Abstract: The custom MKAnnotation object representing a venue._x000D__x000D_ */_x000D__x000D_#import &lt;MapKit/MapKit.h&gt;_x000D__x000D_@interface  Venue2Annotation: NSObject &lt;MKAnnotation&gt;_x000D_{_x000D_    NSNumber *latitude;_x000D_    NSNumber *longitude;_x000D_}_x000D__x000D_@property (nonatomic, retain) NSNumber *latitude;_x000D_@property (nonatomic, retain) NSNumber *longitude;_x000D__x000D_@end_x000D__x000D_</v>
      </c>
      <c r="M6" s="24" t="str">
        <f>CONCATENATE(Defaults!$D$6,'Data Set'!J6,Defaults!$E$6,'Data Set'!J6,Defaults!$F$6,G6,Defaults!$G$6,H6,Defaults!$H$6,C6,Defaults!$I$6,D6,Defaults!$J$6)</f>
        <v>/*_x000D_     _x000D_ Abstract: The custom MKAnnotation object representing a venue._x000D_ _x000D_ */_x000D__x000D_#import "Venue2Annotation.h"_x000D__x000D_@implementation Venue2Annotation_x000D__x000D_@synthesize latitude;_x000D_@synthesize longitude;_x000D__x000D__x000D_- (CLLocationCoordinate2D)coordinate;_x000D_{_x000D_    CLLocationCoordinate2D theCoordinate;_x000D_    theCoordinate.latitude = 40.741022;_x000D_    theCoordinate.longitude = -73.989947;_x000D_    return theCoordinate; _x000D_}_x000D__x000D__x000D_- (NSString *)title_x000D_{_x000D_    return @"The Flatiron Building";_x000D_}_x000D__x000D_// optional_x000D_- (NSString *)subtitle_x000D_{_x000D_    return @"Flatiron was it's nickname, but it stuck";_x000D_}_x000D__x000D__x000D_@end_x000D_</v>
      </c>
      <c r="N6" s="24" t="str">
        <f>CONCATENATE(Defaults!$B$9,'Data Set'!J6,Defaults!$C$9)</f>
        <v>#import "Venue2Annotation.h"</v>
      </c>
      <c r="O6" s="24" t="str">
        <f>CONCATENATE(Defaults!$D$9,'Data Set'!K6,Defaults!$E$9,'Data Set'!J6,Defaults!$F$9,B6,Defaults!$G$9,'Data Set'!J6,Defaults!$H$9, Defaults!$H$10,'Data Set'!B6,Defaults!$I$9,Defaults!$J$9)</f>
        <v xml:space="preserve">    // annotation for Venue2_x000D_    Venue2Annotation *venue2Annotation = [[Venue2Annotation alloc] init];_x000D_    [self.venueAnnotationArray insertObject:venue2Annotation atIndex:kBuildingAnnotationIndex];_x000D_    _x000D_</v>
      </c>
      <c r="P6" s="24" t="str">
        <f>CONCATENATE(Defaults!$B$12,'Data Set'!K6,Defaults!$C$12,E6,Defaults!$D$12)</f>
        <v>- (void)showVenue2Details:(id)sender_x000D_{_x000D_    // set the URL that we want to display on the detail view for this annotation_x000D_    currentURL = @"http://www.google.com";_x000D_    _x000D_    // perform the segue (this will load the perform segue method where data will pass through)_x000D_    [self performSegueWithIdentifier: @"detailSegue" sender: self];_x000D_}_x000D_</v>
      </c>
      <c r="Q6" s="24" t="str">
        <f>IF(ROW(Q6)=5,CONCATENATE(Defaults!$B$17,'Data Set'!J6,Defaults!$C$16,K6,Defaults!$D$16,J6,Defaults!$E$16,B6,Defaults!$F$16,J6,Defaults!$G$16,J6,Defaults!$H$16,'Using Venue Database'!$B$24,Defaults!$H$17,'Using Venue Database'!$B$25,Defaults!$H$18,K6,Defaults!$I$16),CONCATENATE(Defaults!$B$16,'Data Set'!J6,Defaults!$C$16,K6,Defaults!$D$16,J6,Defaults!$E$16,B6,Defaults!$F$16,J6,Defaults!$G$16,J6,Defaults!$H$16,'Using Venue Database'!$B$24,Defaults!$H$17,'Using Venue Database'!$B$25,Defaults!$H$18,K6,Defaults!$I$16))</f>
        <v>// start copying from here _x000D_    else if ([annotation isKindOfClass:[Venue2Annotation class]])   // for Venue2_x000D_    {_x000D_  // try to dequeue an existing pin view first_x000D_        static NSString* Venue2AnnotationIdentifier = @"venue2AnnotationIdentifier";_x000D_        MKPinAnnotationView* pinView = (MKPinAnnotationView *)_x000D_  [mapView dequeueReusableAnnotationViewWithIdentifier:Venue2AnnotationIdentifier];_x000D_        if (!pinView)_x000D_        {_x000D_            // if an existing pin view was not available, create one_x000D_            MKPinAnnotationView* customPinView = [[MKPinAnnotationView alloc]_x000D_               initWithAnnotation:annotation reuseIdentifier:Venue2AnnotationIdentifier];_x000D_            customPinView.pinColor = MKPinAnnotationColorRed;_x000D_            customPinView.animatesDrop = NO;_x000D_            customPinView.canShowCallout = YES;_x000D_            _x000D_            UIButton* rightButton = [UIButton buttonWithType:UIButtonTypeDetailDisclosure];_x000D_            [rightButton addTarget:self_x000D_                            action:@selector(showVenue2Details:)_x000D_                  forControlEvents:UIControlEventTouchUpInside];_x000D_            customPinView.rightCalloutAccessoryView = rightButton;_x000D_   _x000D_            return customPinView;_x000D_        }_x000D_        else_x000D_        {_x000D_            pinView.annotation = annotation;_x000D_        }_x000D_        return pinView;_x000D_    }_x000D_ // stop copying here_x000D_</v>
      </c>
      <c r="R6" s="7" t="s">
        <v>40</v>
      </c>
    </row>
    <row r="7" spans="1:18">
      <c r="A7" s="3"/>
      <c r="D7" s="29"/>
    </row>
    <row r="8" spans="1:18">
      <c r="A8" s="3"/>
      <c r="D8" s="29"/>
    </row>
    <row r="9" spans="1:18">
      <c r="A9" s="3"/>
      <c r="D9" s="29"/>
    </row>
    <row r="10" spans="1:18">
      <c r="A10" s="3"/>
      <c r="D10" s="29"/>
    </row>
    <row r="11" spans="1:18">
      <c r="D11" s="29"/>
    </row>
    <row r="12" spans="1:18">
      <c r="D12" s="29"/>
    </row>
    <row r="13" spans="1:18">
      <c r="D13" s="29"/>
    </row>
    <row r="14" spans="1:18">
      <c r="D14" s="29"/>
    </row>
    <row r="15" spans="1:18">
      <c r="D15" s="29"/>
    </row>
    <row r="16" spans="1:18">
      <c r="D16" s="29"/>
    </row>
    <row r="17" spans="4:4">
      <c r="D17" s="29"/>
    </row>
    <row r="18" spans="4:4">
      <c r="D18" s="29"/>
    </row>
    <row r="19" spans="4:4">
      <c r="D19" s="29"/>
    </row>
    <row r="20" spans="4:4">
      <c r="D20" s="29"/>
    </row>
    <row r="21" spans="4:4">
      <c r="D21" s="29"/>
    </row>
    <row r="22" spans="4:4">
      <c r="D22" s="29"/>
    </row>
    <row r="23" spans="4:4">
      <c r="D23" s="29"/>
    </row>
    <row r="24" spans="4:4">
      <c r="D24" s="29"/>
    </row>
    <row r="25" spans="4:4">
      <c r="D25" s="29"/>
    </row>
    <row r="26" spans="4:4">
      <c r="D26" s="29"/>
    </row>
    <row r="27" spans="4:4">
      <c r="D27" s="29"/>
    </row>
    <row r="28" spans="4:4">
      <c r="D28" s="29"/>
    </row>
    <row r="29" spans="4:4">
      <c r="D29" s="29"/>
    </row>
    <row r="30" spans="4:4">
      <c r="D30" s="29"/>
    </row>
    <row r="31" spans="4:4">
      <c r="D31" s="29"/>
    </row>
    <row r="32" spans="4:4">
      <c r="D32" s="29"/>
    </row>
    <row r="33" spans="4:4">
      <c r="D33" s="29"/>
    </row>
    <row r="34" spans="4:4">
      <c r="D34" s="29"/>
    </row>
    <row r="35" spans="4:4">
      <c r="D35" s="29"/>
    </row>
    <row r="36" spans="4:4">
      <c r="D36" s="29"/>
    </row>
    <row r="37" spans="4:4">
      <c r="D37" s="29"/>
    </row>
    <row r="38" spans="4:4">
      <c r="D38" s="29"/>
    </row>
    <row r="39" spans="4:4">
      <c r="D39" s="29"/>
    </row>
    <row r="40" spans="4:4">
      <c r="D40" s="29"/>
    </row>
    <row r="41" spans="4:4">
      <c r="D41" s="29"/>
    </row>
    <row r="42" spans="4:4">
      <c r="D42" s="29"/>
    </row>
    <row r="43" spans="4:4">
      <c r="D43" s="29"/>
    </row>
    <row r="44" spans="4:4">
      <c r="D44" s="29"/>
    </row>
    <row r="45" spans="4:4">
      <c r="D45" s="29"/>
    </row>
    <row r="46" spans="4:4">
      <c r="D46" s="29"/>
    </row>
    <row r="47" spans="4:4">
      <c r="D47" s="29"/>
    </row>
    <row r="48" spans="4:4">
      <c r="D48" s="29"/>
    </row>
    <row r="49" spans="4:4">
      <c r="D49" s="29"/>
    </row>
    <row r="50" spans="4:4">
      <c r="D50" s="29"/>
    </row>
    <row r="51" spans="4:4">
      <c r="D51" s="29"/>
    </row>
    <row r="52" spans="4:4">
      <c r="D52" s="29"/>
    </row>
    <row r="53" spans="4:4">
      <c r="D53" s="29"/>
    </row>
    <row r="54" spans="4:4">
      <c r="D54" s="29"/>
    </row>
    <row r="55" spans="4:4">
      <c r="D55" s="29"/>
    </row>
    <row r="56" spans="4:4">
      <c r="D56" s="29"/>
    </row>
    <row r="57" spans="4:4">
      <c r="D57" s="29"/>
    </row>
    <row r="58" spans="4:4">
      <c r="D58" s="29"/>
    </row>
    <row r="59" spans="4:4">
      <c r="D59" s="29"/>
    </row>
    <row r="60" spans="4:4">
      <c r="D60" s="29"/>
    </row>
    <row r="61" spans="4:4">
      <c r="D61" s="29"/>
    </row>
    <row r="62" spans="4:4">
      <c r="D62" s="29"/>
    </row>
    <row r="63" spans="4:4">
      <c r="D63" s="29"/>
    </row>
    <row r="64" spans="4:4">
      <c r="D64" s="29"/>
    </row>
    <row r="65" spans="4:4">
      <c r="D65" s="29"/>
    </row>
    <row r="66" spans="4:4">
      <c r="D66" s="29"/>
    </row>
    <row r="67" spans="4:4">
      <c r="D67" s="29"/>
    </row>
    <row r="68" spans="4:4">
      <c r="D68" s="29"/>
    </row>
    <row r="69" spans="4:4">
      <c r="D69" s="29"/>
    </row>
    <row r="70" spans="4:4">
      <c r="D70" s="29"/>
    </row>
    <row r="71" spans="4:4">
      <c r="D71" s="29"/>
    </row>
    <row r="72" spans="4:4">
      <c r="D72" s="29"/>
    </row>
    <row r="73" spans="4:4">
      <c r="D73" s="29"/>
    </row>
    <row r="74" spans="4:4">
      <c r="D74" s="29"/>
    </row>
    <row r="75" spans="4:4">
      <c r="D75" s="29"/>
    </row>
    <row r="76" spans="4:4">
      <c r="D76" s="29"/>
    </row>
    <row r="77" spans="4:4">
      <c r="D77" s="29"/>
    </row>
    <row r="78" spans="4:4">
      <c r="D78" s="29"/>
    </row>
    <row r="79" spans="4:4">
      <c r="D79" s="29"/>
    </row>
    <row r="80" spans="4:4">
      <c r="D80" s="29"/>
    </row>
    <row r="81" spans="4:4">
      <c r="D81" s="29"/>
    </row>
    <row r="82" spans="4:4">
      <c r="D82" s="29"/>
    </row>
    <row r="83" spans="4:4">
      <c r="D83" s="29"/>
    </row>
    <row r="84" spans="4:4">
      <c r="D84" s="29"/>
    </row>
    <row r="85" spans="4:4">
      <c r="D85" s="29"/>
    </row>
    <row r="86" spans="4:4">
      <c r="D86" s="29"/>
    </row>
    <row r="87" spans="4:4">
      <c r="D87" s="29"/>
    </row>
    <row r="88" spans="4:4">
      <c r="D88" s="29"/>
    </row>
    <row r="89" spans="4:4">
      <c r="D89" s="29"/>
    </row>
    <row r="90" spans="4:4">
      <c r="D90" s="29"/>
    </row>
    <row r="91" spans="4:4">
      <c r="D91" s="29"/>
    </row>
    <row r="92" spans="4:4">
      <c r="D92" s="29"/>
    </row>
    <row r="93" spans="4:4">
      <c r="D93" s="29"/>
    </row>
    <row r="94" spans="4:4">
      <c r="D94" s="29"/>
    </row>
    <row r="95" spans="4:4">
      <c r="D95" s="29"/>
    </row>
    <row r="96" spans="4:4">
      <c r="D96" s="29"/>
    </row>
    <row r="97" spans="4:4">
      <c r="D97" s="29"/>
    </row>
    <row r="98" spans="4:4">
      <c r="D98" s="29"/>
    </row>
    <row r="99" spans="4:4">
      <c r="D99" s="29"/>
    </row>
    <row r="100" spans="4:4">
      <c r="D100" s="29"/>
    </row>
    <row r="101" spans="4:4">
      <c r="D101" s="29"/>
    </row>
    <row r="102" spans="4:4">
      <c r="D102" s="29"/>
    </row>
    <row r="103" spans="4:4">
      <c r="D103" s="29"/>
    </row>
    <row r="104" spans="4:4">
      <c r="D104" s="29"/>
    </row>
    <row r="105" spans="4:4">
      <c r="D105" s="29"/>
    </row>
    <row r="106" spans="4:4">
      <c r="D106" s="29"/>
    </row>
    <row r="107" spans="4:4">
      <c r="D107" s="29"/>
    </row>
    <row r="108" spans="4:4">
      <c r="D108" s="29"/>
    </row>
    <row r="109" spans="4:4">
      <c r="D109" s="29"/>
    </row>
    <row r="110" spans="4:4">
      <c r="D110" s="29"/>
    </row>
    <row r="111" spans="4:4">
      <c r="D111" s="29"/>
    </row>
    <row r="112" spans="4:4">
      <c r="D112" s="29"/>
    </row>
    <row r="113" spans="4:4">
      <c r="D113" s="29"/>
    </row>
    <row r="114" spans="4:4">
      <c r="D114" s="29"/>
    </row>
    <row r="115" spans="4:4">
      <c r="D115" s="29"/>
    </row>
    <row r="116" spans="4:4">
      <c r="D116" s="29"/>
    </row>
    <row r="117" spans="4:4">
      <c r="D117" s="29"/>
    </row>
    <row r="118" spans="4:4">
      <c r="D118" s="29"/>
    </row>
    <row r="119" spans="4:4">
      <c r="D119" s="29"/>
    </row>
    <row r="120" spans="4:4">
      <c r="D120" s="29"/>
    </row>
    <row r="121" spans="4:4">
      <c r="D121" s="29"/>
    </row>
    <row r="122" spans="4:4">
      <c r="D122" s="29"/>
    </row>
    <row r="123" spans="4:4">
      <c r="D123" s="29"/>
    </row>
    <row r="124" spans="4:4">
      <c r="D124" s="29"/>
    </row>
    <row r="125" spans="4:4">
      <c r="D125" s="29"/>
    </row>
    <row r="126" spans="4:4">
      <c r="D126" s="29"/>
    </row>
    <row r="127" spans="4:4">
      <c r="D127" s="29"/>
    </row>
    <row r="128" spans="4:4">
      <c r="D128" s="29"/>
    </row>
    <row r="129" spans="4:4">
      <c r="D129" s="29"/>
    </row>
    <row r="130" spans="4:4">
      <c r="D130" s="29"/>
    </row>
    <row r="131" spans="4:4">
      <c r="D131" s="29"/>
    </row>
    <row r="132" spans="4:4">
      <c r="D132" s="29"/>
    </row>
    <row r="133" spans="4:4">
      <c r="D133" s="29"/>
    </row>
    <row r="134" spans="4:4">
      <c r="D134" s="29"/>
    </row>
    <row r="135" spans="4:4">
      <c r="D135" s="29"/>
    </row>
    <row r="136" spans="4:4">
      <c r="D136" s="29"/>
    </row>
    <row r="137" spans="4:4">
      <c r="D137" s="29"/>
    </row>
    <row r="138" spans="4:4">
      <c r="D138" s="29"/>
    </row>
    <row r="139" spans="4:4">
      <c r="D139" s="29"/>
    </row>
    <row r="140" spans="4:4">
      <c r="D140" s="29"/>
    </row>
    <row r="141" spans="4:4">
      <c r="D141" s="29"/>
    </row>
    <row r="142" spans="4:4">
      <c r="D142" s="29"/>
    </row>
    <row r="143" spans="4:4">
      <c r="D143" s="29"/>
    </row>
    <row r="144" spans="4:4">
      <c r="D144" s="29"/>
    </row>
    <row r="145" spans="4:4">
      <c r="D145" s="29"/>
    </row>
    <row r="146" spans="4:4">
      <c r="D146" s="29"/>
    </row>
    <row r="147" spans="4:4">
      <c r="D147" s="29"/>
    </row>
    <row r="148" spans="4:4">
      <c r="D148" s="29"/>
    </row>
    <row r="149" spans="4:4">
      <c r="D149" s="29"/>
    </row>
    <row r="150" spans="4:4">
      <c r="D150" s="29"/>
    </row>
    <row r="151" spans="4:4">
      <c r="D151" s="29"/>
    </row>
    <row r="152" spans="4:4">
      <c r="D152" s="29"/>
    </row>
    <row r="153" spans="4:4">
      <c r="D153" s="29"/>
    </row>
    <row r="154" spans="4:4">
      <c r="D154" s="29"/>
    </row>
    <row r="155" spans="4:4">
      <c r="D155" s="29"/>
    </row>
    <row r="156" spans="4:4">
      <c r="D156" s="29"/>
    </row>
    <row r="157" spans="4:4">
      <c r="D157" s="29"/>
    </row>
    <row r="158" spans="4:4">
      <c r="D158" s="29"/>
    </row>
    <row r="159" spans="4:4">
      <c r="D159" s="29"/>
    </row>
    <row r="160" spans="4:4">
      <c r="D160" s="29"/>
    </row>
    <row r="161" spans="4:4">
      <c r="D161" s="29"/>
    </row>
    <row r="162" spans="4:4">
      <c r="D162" s="29"/>
    </row>
    <row r="163" spans="4:4">
      <c r="D163" s="29"/>
    </row>
    <row r="164" spans="4:4">
      <c r="D164" s="29"/>
    </row>
    <row r="165" spans="4:4">
      <c r="D165" s="29"/>
    </row>
    <row r="166" spans="4:4">
      <c r="D166" s="29"/>
    </row>
    <row r="167" spans="4:4">
      <c r="D167" s="29"/>
    </row>
    <row r="168" spans="4:4">
      <c r="D168" s="29"/>
    </row>
    <row r="169" spans="4:4">
      <c r="D169" s="29"/>
    </row>
    <row r="170" spans="4:4">
      <c r="D170" s="29"/>
    </row>
    <row r="171" spans="4:4">
      <c r="D171" s="29"/>
    </row>
    <row r="172" spans="4:4">
      <c r="D172" s="29"/>
    </row>
    <row r="173" spans="4:4">
      <c r="D173" s="29"/>
    </row>
    <row r="174" spans="4:4">
      <c r="D174" s="29"/>
    </row>
    <row r="175" spans="4:4">
      <c r="D175" s="29"/>
    </row>
    <row r="176" spans="4:4">
      <c r="D176" s="29"/>
    </row>
    <row r="177" spans="4:4">
      <c r="D177" s="29"/>
    </row>
    <row r="178" spans="4:4">
      <c r="D178" s="29"/>
    </row>
    <row r="179" spans="4:4">
      <c r="D179" s="29"/>
    </row>
    <row r="180" spans="4:4">
      <c r="D180" s="29"/>
    </row>
    <row r="181" spans="4:4">
      <c r="D181" s="29"/>
    </row>
    <row r="182" spans="4:4">
      <c r="D182" s="29"/>
    </row>
    <row r="183" spans="4:4">
      <c r="D183" s="29"/>
    </row>
    <row r="184" spans="4:4">
      <c r="D184" s="29"/>
    </row>
    <row r="185" spans="4:4">
      <c r="D185" s="29"/>
    </row>
    <row r="186" spans="4:4">
      <c r="D186" s="29"/>
    </row>
    <row r="187" spans="4:4">
      <c r="D187" s="29"/>
    </row>
    <row r="188" spans="4:4">
      <c r="D188" s="29"/>
    </row>
    <row r="189" spans="4:4">
      <c r="D189" s="29"/>
    </row>
    <row r="190" spans="4:4">
      <c r="D190" s="29"/>
    </row>
    <row r="191" spans="4:4">
      <c r="D191" s="29"/>
    </row>
    <row r="192" spans="4:4">
      <c r="D192" s="29"/>
    </row>
    <row r="193" spans="4:4">
      <c r="D193" s="29"/>
    </row>
    <row r="194" spans="4:4">
      <c r="D194" s="29"/>
    </row>
    <row r="195" spans="4:4">
      <c r="D195" s="29"/>
    </row>
    <row r="196" spans="4:4">
      <c r="D196" s="29"/>
    </row>
    <row r="197" spans="4:4">
      <c r="D197" s="29"/>
    </row>
    <row r="198" spans="4:4">
      <c r="D198" s="29"/>
    </row>
    <row r="199" spans="4:4">
      <c r="D199" s="29"/>
    </row>
    <row r="200" spans="4:4">
      <c r="D200" s="29"/>
    </row>
    <row r="201" spans="4:4">
      <c r="D201" s="29"/>
    </row>
    <row r="202" spans="4:4">
      <c r="D202" s="29"/>
    </row>
    <row r="203" spans="4:4">
      <c r="D203" s="29"/>
    </row>
    <row r="204" spans="4:4">
      <c r="D204" s="29"/>
    </row>
    <row r="205" spans="4:4">
      <c r="D205" s="29"/>
    </row>
    <row r="206" spans="4:4">
      <c r="D206" s="29"/>
    </row>
    <row r="207" spans="4:4">
      <c r="D207" s="29"/>
    </row>
    <row r="208" spans="4:4">
      <c r="D208" s="29"/>
    </row>
    <row r="209" spans="4:4">
      <c r="D209" s="29"/>
    </row>
    <row r="210" spans="4:4">
      <c r="D210" s="29"/>
    </row>
    <row r="211" spans="4:4">
      <c r="D211" s="29"/>
    </row>
    <row r="212" spans="4:4">
      <c r="D212" s="29"/>
    </row>
    <row r="213" spans="4:4">
      <c r="D213" s="29"/>
    </row>
    <row r="214" spans="4:4">
      <c r="D214" s="29"/>
    </row>
    <row r="215" spans="4:4">
      <c r="D215" s="29"/>
    </row>
    <row r="216" spans="4:4">
      <c r="D216" s="29"/>
    </row>
    <row r="217" spans="4:4">
      <c r="D217" s="29"/>
    </row>
    <row r="218" spans="4:4">
      <c r="D218" s="29"/>
    </row>
    <row r="219" spans="4:4">
      <c r="D219" s="29"/>
    </row>
    <row r="220" spans="4:4">
      <c r="D220" s="29"/>
    </row>
    <row r="221" spans="4:4">
      <c r="D221" s="29"/>
    </row>
    <row r="222" spans="4:4">
      <c r="D222" s="29"/>
    </row>
    <row r="223" spans="4:4">
      <c r="D223" s="29"/>
    </row>
    <row r="224" spans="4:4">
      <c r="D224" s="29"/>
    </row>
    <row r="225" spans="4:4">
      <c r="D225" s="29"/>
    </row>
    <row r="226" spans="4:4">
      <c r="D226" s="29"/>
    </row>
    <row r="227" spans="4:4">
      <c r="D227" s="29"/>
    </row>
    <row r="228" spans="4:4">
      <c r="D228" s="29"/>
    </row>
    <row r="229" spans="4:4">
      <c r="D229" s="29"/>
    </row>
    <row r="230" spans="4:4">
      <c r="D230" s="29"/>
    </row>
    <row r="231" spans="4:4">
      <c r="D231" s="29"/>
    </row>
    <row r="232" spans="4:4">
      <c r="D232" s="29"/>
    </row>
    <row r="233" spans="4:4">
      <c r="D233" s="29"/>
    </row>
    <row r="234" spans="4:4">
      <c r="D234" s="29"/>
    </row>
    <row r="235" spans="4:4">
      <c r="D235" s="29"/>
    </row>
    <row r="236" spans="4:4">
      <c r="D236" s="29"/>
    </row>
    <row r="237" spans="4:4">
      <c r="D237" s="29"/>
    </row>
    <row r="238" spans="4:4">
      <c r="D238" s="29"/>
    </row>
    <row r="239" spans="4:4">
      <c r="D239" s="29"/>
    </row>
    <row r="240" spans="4:4">
      <c r="D240" s="29"/>
    </row>
    <row r="241" spans="4:4">
      <c r="D241" s="29"/>
    </row>
    <row r="242" spans="4:4">
      <c r="D242" s="29"/>
    </row>
    <row r="243" spans="4:4">
      <c r="D243" s="29"/>
    </row>
    <row r="244" spans="4:4">
      <c r="D244" s="29"/>
    </row>
    <row r="245" spans="4:4">
      <c r="D245" s="29"/>
    </row>
    <row r="246" spans="4:4">
      <c r="D246" s="29"/>
    </row>
    <row r="247" spans="4:4">
      <c r="D247" s="29"/>
    </row>
    <row r="248" spans="4:4">
      <c r="D248" s="29"/>
    </row>
    <row r="249" spans="4:4">
      <c r="D249" s="29"/>
    </row>
    <row r="250" spans="4:4">
      <c r="D250" s="29"/>
    </row>
    <row r="251" spans="4:4">
      <c r="D251" s="29"/>
    </row>
    <row r="252" spans="4:4">
      <c r="D252" s="29"/>
    </row>
    <row r="253" spans="4:4">
      <c r="D253" s="29"/>
    </row>
    <row r="254" spans="4:4">
      <c r="D254" s="29"/>
    </row>
    <row r="255" spans="4:4">
      <c r="D255" s="29"/>
    </row>
    <row r="256" spans="4:4">
      <c r="D256" s="29"/>
    </row>
    <row r="257" spans="4:4">
      <c r="D257" s="29"/>
    </row>
    <row r="258" spans="4:4">
      <c r="D258" s="29"/>
    </row>
    <row r="259" spans="4:4">
      <c r="D259" s="29"/>
    </row>
    <row r="260" spans="4:4">
      <c r="D260" s="29"/>
    </row>
    <row r="261" spans="4:4">
      <c r="D261" s="29"/>
    </row>
    <row r="262" spans="4:4">
      <c r="D262" s="29"/>
    </row>
    <row r="263" spans="4:4">
      <c r="D263" s="29"/>
    </row>
    <row r="264" spans="4:4">
      <c r="D264" s="29"/>
    </row>
    <row r="265" spans="4:4">
      <c r="D265" s="29"/>
    </row>
    <row r="266" spans="4:4">
      <c r="D266" s="29"/>
    </row>
    <row r="267" spans="4:4">
      <c r="D267" s="29"/>
    </row>
    <row r="268" spans="4:4">
      <c r="D268" s="29"/>
    </row>
    <row r="269" spans="4:4">
      <c r="D269" s="29"/>
    </row>
    <row r="270" spans="4:4">
      <c r="D270" s="29"/>
    </row>
    <row r="271" spans="4:4">
      <c r="D271" s="29"/>
    </row>
    <row r="272" spans="4:4">
      <c r="D272" s="29"/>
    </row>
    <row r="273" spans="4:4">
      <c r="D273" s="29"/>
    </row>
    <row r="274" spans="4:4">
      <c r="D274" s="29"/>
    </row>
    <row r="275" spans="4:4">
      <c r="D275" s="29"/>
    </row>
    <row r="276" spans="4:4">
      <c r="D276" s="29"/>
    </row>
    <row r="277" spans="4:4">
      <c r="D277" s="29"/>
    </row>
    <row r="278" spans="4:4">
      <c r="D278" s="29"/>
    </row>
    <row r="279" spans="4:4">
      <c r="D279" s="29"/>
    </row>
    <row r="280" spans="4:4">
      <c r="D280" s="29"/>
    </row>
    <row r="281" spans="4:4">
      <c r="D281" s="29"/>
    </row>
    <row r="282" spans="4:4">
      <c r="D282" s="29"/>
    </row>
    <row r="283" spans="4:4">
      <c r="D283" s="29"/>
    </row>
    <row r="284" spans="4:4">
      <c r="D284" s="29"/>
    </row>
    <row r="285" spans="4:4">
      <c r="D285" s="29"/>
    </row>
    <row r="286" spans="4:4">
      <c r="D286" s="29"/>
    </row>
    <row r="287" spans="4:4">
      <c r="D287" s="29"/>
    </row>
    <row r="288" spans="4:4">
      <c r="D288" s="29"/>
    </row>
    <row r="289" spans="4:4">
      <c r="D289" s="29"/>
    </row>
    <row r="290" spans="4:4">
      <c r="D290" s="29"/>
    </row>
    <row r="291" spans="4:4">
      <c r="D291" s="29"/>
    </row>
    <row r="292" spans="4:4">
      <c r="D292" s="29"/>
    </row>
    <row r="293" spans="4:4">
      <c r="D293" s="29"/>
    </row>
    <row r="294" spans="4:4">
      <c r="D294" s="29"/>
    </row>
    <row r="295" spans="4:4">
      <c r="D295" s="29"/>
    </row>
    <row r="296" spans="4:4">
      <c r="D296" s="29"/>
    </row>
    <row r="297" spans="4:4">
      <c r="D297" s="29"/>
    </row>
    <row r="298" spans="4:4">
      <c r="D298" s="29"/>
    </row>
    <row r="299" spans="4:4">
      <c r="D299" s="29"/>
    </row>
    <row r="300" spans="4:4">
      <c r="D300" s="29"/>
    </row>
    <row r="301" spans="4:4">
      <c r="D301" s="29"/>
    </row>
    <row r="302" spans="4:4">
      <c r="D302" s="29"/>
    </row>
    <row r="303" spans="4:4">
      <c r="D303" s="29"/>
    </row>
    <row r="304" spans="4:4">
      <c r="D304" s="29"/>
    </row>
    <row r="305" spans="4:4">
      <c r="D305" s="29"/>
    </row>
    <row r="306" spans="4:4">
      <c r="D306" s="29"/>
    </row>
    <row r="307" spans="4:4">
      <c r="D307" s="29"/>
    </row>
    <row r="308" spans="4:4">
      <c r="D308" s="29"/>
    </row>
    <row r="309" spans="4:4">
      <c r="D309" s="29"/>
    </row>
    <row r="310" spans="4:4">
      <c r="D310" s="29"/>
    </row>
    <row r="311" spans="4:4">
      <c r="D311" s="29"/>
    </row>
    <row r="312" spans="4:4">
      <c r="D312" s="29"/>
    </row>
    <row r="313" spans="4:4">
      <c r="D313" s="29"/>
    </row>
    <row r="314" spans="4:4">
      <c r="D314" s="29"/>
    </row>
    <row r="315" spans="4:4">
      <c r="D315" s="29"/>
    </row>
    <row r="316" spans="4:4">
      <c r="D316" s="29"/>
    </row>
    <row r="317" spans="4:4">
      <c r="D317" s="29"/>
    </row>
    <row r="318" spans="4:4">
      <c r="D318" s="29"/>
    </row>
    <row r="319" spans="4:4">
      <c r="D319" s="29"/>
    </row>
    <row r="320" spans="4:4">
      <c r="D320" s="29"/>
    </row>
    <row r="321" spans="4:4">
      <c r="D321" s="29"/>
    </row>
    <row r="322" spans="4:4">
      <c r="D322" s="29"/>
    </row>
    <row r="323" spans="4:4">
      <c r="D323" s="29"/>
    </row>
    <row r="324" spans="4:4">
      <c r="D324" s="29"/>
    </row>
    <row r="325" spans="4:4">
      <c r="D325" s="29"/>
    </row>
    <row r="326" spans="4:4">
      <c r="D326" s="29"/>
    </row>
    <row r="327" spans="4:4">
      <c r="D327" s="29"/>
    </row>
    <row r="328" spans="4:4">
      <c r="D328" s="29"/>
    </row>
    <row r="329" spans="4:4">
      <c r="D329" s="29"/>
    </row>
    <row r="330" spans="4:4">
      <c r="D330" s="29"/>
    </row>
    <row r="331" spans="4:4">
      <c r="D331" s="29"/>
    </row>
    <row r="332" spans="4:4">
      <c r="D332" s="29"/>
    </row>
    <row r="333" spans="4:4">
      <c r="D333" s="29"/>
    </row>
    <row r="334" spans="4:4">
      <c r="D334" s="29"/>
    </row>
    <row r="335" spans="4:4">
      <c r="D335" s="29"/>
    </row>
    <row r="336" spans="4:4">
      <c r="D336" s="29"/>
    </row>
    <row r="337" spans="4:4">
      <c r="D337" s="29"/>
    </row>
    <row r="338" spans="4:4">
      <c r="D338" s="29"/>
    </row>
    <row r="339" spans="4:4">
      <c r="D339" s="29"/>
    </row>
    <row r="340" spans="4:4">
      <c r="D340" s="29"/>
    </row>
    <row r="341" spans="4:4">
      <c r="D341" s="29"/>
    </row>
    <row r="342" spans="4:4">
      <c r="D342" s="29"/>
    </row>
    <row r="343" spans="4:4">
      <c r="D343" s="29"/>
    </row>
    <row r="344" spans="4:4">
      <c r="D344" s="29"/>
    </row>
    <row r="345" spans="4:4">
      <c r="D345" s="29"/>
    </row>
    <row r="346" spans="4:4">
      <c r="D346" s="29"/>
    </row>
    <row r="347" spans="4:4">
      <c r="D347" s="29"/>
    </row>
    <row r="348" spans="4:4">
      <c r="D348" s="29"/>
    </row>
    <row r="349" spans="4:4">
      <c r="D349" s="29"/>
    </row>
    <row r="350" spans="4:4">
      <c r="D350" s="29"/>
    </row>
    <row r="351" spans="4:4">
      <c r="D351" s="29"/>
    </row>
    <row r="352" spans="4:4">
      <c r="D352" s="29"/>
    </row>
    <row r="353" spans="4:4">
      <c r="D353" s="29"/>
    </row>
    <row r="354" spans="4:4">
      <c r="D354" s="29"/>
    </row>
    <row r="355" spans="4:4">
      <c r="D355" s="29"/>
    </row>
    <row r="356" spans="4:4">
      <c r="D356" s="29"/>
    </row>
    <row r="357" spans="4:4">
      <c r="D357" s="29"/>
    </row>
    <row r="358" spans="4:4">
      <c r="D358" s="29"/>
    </row>
    <row r="359" spans="4:4">
      <c r="D359" s="29"/>
    </row>
    <row r="360" spans="4:4">
      <c r="D360" s="29"/>
    </row>
    <row r="361" spans="4:4">
      <c r="D361" s="29"/>
    </row>
    <row r="362" spans="4:4">
      <c r="D362" s="29"/>
    </row>
    <row r="363" spans="4:4">
      <c r="D363" s="29"/>
    </row>
    <row r="364" spans="4:4">
      <c r="D364" s="29"/>
    </row>
    <row r="365" spans="4:4">
      <c r="D365" s="29"/>
    </row>
    <row r="366" spans="4:4">
      <c r="D366" s="29"/>
    </row>
    <row r="367" spans="4:4">
      <c r="D367" s="29"/>
    </row>
    <row r="368" spans="4:4">
      <c r="D368" s="29"/>
    </row>
    <row r="369" spans="4:4">
      <c r="D369" s="29"/>
    </row>
    <row r="370" spans="4:4">
      <c r="D370" s="29"/>
    </row>
    <row r="371" spans="4:4">
      <c r="D371" s="29"/>
    </row>
    <row r="372" spans="4:4">
      <c r="D372" s="29"/>
    </row>
    <row r="373" spans="4:4">
      <c r="D373" s="29"/>
    </row>
    <row r="374" spans="4:4">
      <c r="D374" s="29"/>
    </row>
    <row r="375" spans="4:4">
      <c r="D375" s="29"/>
    </row>
    <row r="376" spans="4:4">
      <c r="D376" s="29"/>
    </row>
    <row r="377" spans="4:4">
      <c r="D377" s="29"/>
    </row>
    <row r="378" spans="4:4">
      <c r="D378" s="29"/>
    </row>
    <row r="379" spans="4:4">
      <c r="D379" s="29"/>
    </row>
    <row r="380" spans="4:4">
      <c r="D380" s="29"/>
    </row>
    <row r="381" spans="4:4">
      <c r="D381" s="29"/>
    </row>
    <row r="382" spans="4:4">
      <c r="D382" s="29"/>
    </row>
    <row r="383" spans="4:4">
      <c r="D383" s="29"/>
    </row>
    <row r="384" spans="4:4">
      <c r="D384" s="29"/>
    </row>
    <row r="385" spans="4:4">
      <c r="D385" s="29"/>
    </row>
    <row r="386" spans="4:4">
      <c r="D386" s="29"/>
    </row>
    <row r="387" spans="4:4">
      <c r="D387" s="29"/>
    </row>
    <row r="388" spans="4:4">
      <c r="D388" s="29"/>
    </row>
    <row r="389" spans="4:4">
      <c r="D389" s="29"/>
    </row>
    <row r="390" spans="4:4">
      <c r="D390" s="29"/>
    </row>
    <row r="391" spans="4:4">
      <c r="D391" s="29"/>
    </row>
    <row r="392" spans="4:4">
      <c r="D392" s="29"/>
    </row>
    <row r="393" spans="4:4">
      <c r="D393" s="29"/>
    </row>
    <row r="394" spans="4:4">
      <c r="D394" s="29"/>
    </row>
    <row r="395" spans="4:4">
      <c r="D395" s="29"/>
    </row>
    <row r="396" spans="4:4">
      <c r="D396" s="29"/>
    </row>
    <row r="397" spans="4:4">
      <c r="D397" s="29"/>
    </row>
    <row r="398" spans="4:4">
      <c r="D398" s="29"/>
    </row>
    <row r="399" spans="4:4">
      <c r="D399" s="29"/>
    </row>
    <row r="400" spans="4:4">
      <c r="D400" s="29"/>
    </row>
    <row r="401" spans="4:4">
      <c r="D401" s="29"/>
    </row>
    <row r="402" spans="4:4">
      <c r="D402" s="29"/>
    </row>
    <row r="403" spans="4:4">
      <c r="D403" s="29"/>
    </row>
    <row r="404" spans="4:4">
      <c r="D404" s="29"/>
    </row>
    <row r="405" spans="4:4">
      <c r="D405" s="29"/>
    </row>
    <row r="406" spans="4:4">
      <c r="D406" s="29"/>
    </row>
    <row r="407" spans="4:4">
      <c r="D407" s="29"/>
    </row>
    <row r="408" spans="4:4">
      <c r="D408" s="29"/>
    </row>
    <row r="409" spans="4:4">
      <c r="D409" s="29"/>
    </row>
    <row r="410" spans="4:4">
      <c r="D410" s="29"/>
    </row>
    <row r="411" spans="4:4">
      <c r="D411" s="29"/>
    </row>
    <row r="412" spans="4:4">
      <c r="D412" s="29"/>
    </row>
    <row r="413" spans="4:4">
      <c r="D413" s="29"/>
    </row>
    <row r="414" spans="4:4">
      <c r="D414" s="29"/>
    </row>
    <row r="415" spans="4:4">
      <c r="D415" s="29"/>
    </row>
    <row r="416" spans="4:4">
      <c r="D416" s="29"/>
    </row>
    <row r="417" spans="4:4">
      <c r="D417" s="29"/>
    </row>
    <row r="418" spans="4:4">
      <c r="D418" s="29"/>
    </row>
    <row r="419" spans="4:4">
      <c r="D419" s="29"/>
    </row>
    <row r="420" spans="4:4">
      <c r="D420" s="29"/>
    </row>
    <row r="421" spans="4:4">
      <c r="D421" s="29"/>
    </row>
    <row r="422" spans="4:4">
      <c r="D422" s="29"/>
    </row>
    <row r="423" spans="4:4">
      <c r="D423" s="29"/>
    </row>
    <row r="424" spans="4:4">
      <c r="D424" s="29"/>
    </row>
    <row r="425" spans="4:4">
      <c r="D425" s="29"/>
    </row>
    <row r="426" spans="4:4">
      <c r="D426" s="29"/>
    </row>
    <row r="427" spans="4:4">
      <c r="D427" s="29"/>
    </row>
    <row r="428" spans="4:4">
      <c r="D428" s="29"/>
    </row>
    <row r="429" spans="4:4">
      <c r="D429" s="29"/>
    </row>
    <row r="430" spans="4:4">
      <c r="D430" s="29"/>
    </row>
    <row r="431" spans="4:4">
      <c r="D431" s="29"/>
    </row>
    <row r="432" spans="4:4">
      <c r="D432" s="29"/>
    </row>
    <row r="433" spans="4:4">
      <c r="D433" s="29"/>
    </row>
    <row r="434" spans="4:4">
      <c r="D434" s="29"/>
    </row>
    <row r="435" spans="4:4">
      <c r="D435" s="29"/>
    </row>
    <row r="436" spans="4:4">
      <c r="D436" s="29"/>
    </row>
    <row r="437" spans="4:4">
      <c r="D437" s="29"/>
    </row>
    <row r="438" spans="4:4">
      <c r="D438" s="29"/>
    </row>
    <row r="439" spans="4:4">
      <c r="D439" s="29"/>
    </row>
    <row r="440" spans="4:4">
      <c r="D440" s="29"/>
    </row>
    <row r="441" spans="4:4">
      <c r="D441" s="29"/>
    </row>
    <row r="442" spans="4:4">
      <c r="D442" s="29"/>
    </row>
    <row r="443" spans="4:4">
      <c r="D443" s="29"/>
    </row>
    <row r="444" spans="4:4">
      <c r="D444" s="29"/>
    </row>
    <row r="445" spans="4:4">
      <c r="D445" s="29"/>
    </row>
    <row r="446" spans="4:4">
      <c r="D446" s="29"/>
    </row>
    <row r="447" spans="4:4">
      <c r="D447" s="29"/>
    </row>
    <row r="448" spans="4:4">
      <c r="D448" s="29"/>
    </row>
    <row r="449" spans="4:4">
      <c r="D449" s="29"/>
    </row>
    <row r="450" spans="4:4">
      <c r="D450" s="29"/>
    </row>
    <row r="451" spans="4:4">
      <c r="D451" s="29"/>
    </row>
    <row r="452" spans="4:4">
      <c r="D452" s="29"/>
    </row>
    <row r="453" spans="4:4">
      <c r="D453" s="29"/>
    </row>
    <row r="454" spans="4:4">
      <c r="D454" s="29"/>
    </row>
    <row r="455" spans="4:4">
      <c r="D455" s="29"/>
    </row>
    <row r="456" spans="4:4">
      <c r="D456" s="29"/>
    </row>
    <row r="457" spans="4:4">
      <c r="D457" s="29"/>
    </row>
    <row r="458" spans="4:4">
      <c r="D458" s="29"/>
    </row>
    <row r="459" spans="4:4">
      <c r="D459" s="29"/>
    </row>
    <row r="460" spans="4:4">
      <c r="D460" s="29"/>
    </row>
    <row r="461" spans="4:4">
      <c r="D461" s="29"/>
    </row>
    <row r="462" spans="4:4">
      <c r="D462" s="29"/>
    </row>
    <row r="463" spans="4:4">
      <c r="D463" s="29"/>
    </row>
    <row r="464" spans="4:4">
      <c r="D464" s="29"/>
    </row>
    <row r="465" spans="4:4">
      <c r="D465" s="29"/>
    </row>
    <row r="466" spans="4:4">
      <c r="D466" s="29"/>
    </row>
    <row r="467" spans="4:4">
      <c r="D467" s="29"/>
    </row>
    <row r="468" spans="4:4">
      <c r="D468" s="29"/>
    </row>
    <row r="469" spans="4:4">
      <c r="D469" s="29"/>
    </row>
    <row r="470" spans="4:4">
      <c r="D470" s="29"/>
    </row>
    <row r="471" spans="4:4">
      <c r="D471" s="29"/>
    </row>
    <row r="472" spans="4:4">
      <c r="D472" s="29"/>
    </row>
    <row r="473" spans="4:4">
      <c r="D473" s="29"/>
    </row>
    <row r="474" spans="4:4">
      <c r="D474" s="29"/>
    </row>
    <row r="475" spans="4:4">
      <c r="D475" s="29"/>
    </row>
    <row r="476" spans="4:4">
      <c r="D476" s="29"/>
    </row>
    <row r="477" spans="4:4">
      <c r="D477" s="29"/>
    </row>
    <row r="478" spans="4:4">
      <c r="D478" s="29"/>
    </row>
    <row r="479" spans="4:4">
      <c r="D479" s="29"/>
    </row>
    <row r="480" spans="4:4">
      <c r="D480" s="29"/>
    </row>
    <row r="481" spans="4:4">
      <c r="D481" s="29"/>
    </row>
    <row r="482" spans="4:4">
      <c r="D482" s="29"/>
    </row>
    <row r="483" spans="4:4">
      <c r="D483" s="29"/>
    </row>
    <row r="484" spans="4:4">
      <c r="D484" s="29"/>
    </row>
    <row r="485" spans="4:4">
      <c r="D485" s="29"/>
    </row>
    <row r="486" spans="4:4">
      <c r="D486" s="29"/>
    </row>
    <row r="487" spans="4:4">
      <c r="D487" s="29"/>
    </row>
    <row r="488" spans="4:4">
      <c r="D488" s="29"/>
    </row>
    <row r="489" spans="4:4">
      <c r="D489" s="29"/>
    </row>
    <row r="490" spans="4:4">
      <c r="D490" s="29"/>
    </row>
    <row r="491" spans="4:4">
      <c r="D491" s="29"/>
    </row>
    <row r="492" spans="4:4">
      <c r="D492" s="29"/>
    </row>
    <row r="493" spans="4:4">
      <c r="D493" s="29"/>
    </row>
    <row r="494" spans="4:4">
      <c r="D494" s="29"/>
    </row>
    <row r="495" spans="4:4">
      <c r="D495" s="29"/>
    </row>
    <row r="496" spans="4:4">
      <c r="D496" s="29"/>
    </row>
    <row r="497" spans="4:4">
      <c r="D497" s="29"/>
    </row>
    <row r="498" spans="4:4">
      <c r="D498" s="29"/>
    </row>
    <row r="499" spans="4:4">
      <c r="D499" s="29"/>
    </row>
    <row r="500" spans="4:4">
      <c r="D500" s="29"/>
    </row>
    <row r="501" spans="4:4">
      <c r="D501" s="29"/>
    </row>
    <row r="502" spans="4:4">
      <c r="D502" s="29"/>
    </row>
    <row r="503" spans="4:4">
      <c r="D503" s="29"/>
    </row>
    <row r="504" spans="4:4">
      <c r="D504" s="29"/>
    </row>
    <row r="505" spans="4:4">
      <c r="D505" s="29"/>
    </row>
    <row r="506" spans="4:4">
      <c r="D506" s="29"/>
    </row>
    <row r="507" spans="4:4">
      <c r="D507" s="29"/>
    </row>
    <row r="508" spans="4:4">
      <c r="D508" s="29"/>
    </row>
    <row r="509" spans="4:4">
      <c r="D509" s="29"/>
    </row>
    <row r="510" spans="4:4">
      <c r="D510" s="29"/>
    </row>
    <row r="511" spans="4:4">
      <c r="D511" s="29"/>
    </row>
    <row r="512" spans="4:4">
      <c r="D512" s="29"/>
    </row>
    <row r="513" spans="4:4">
      <c r="D513" s="29"/>
    </row>
    <row r="514" spans="4:4">
      <c r="D514" s="29"/>
    </row>
    <row r="515" spans="4:4">
      <c r="D515" s="29"/>
    </row>
    <row r="516" spans="4:4">
      <c r="D516" s="29"/>
    </row>
    <row r="517" spans="4:4">
      <c r="D517" s="29"/>
    </row>
    <row r="518" spans="4:4">
      <c r="D518" s="29"/>
    </row>
    <row r="519" spans="4:4">
      <c r="D519" s="29"/>
    </row>
    <row r="520" spans="4:4">
      <c r="D520" s="29"/>
    </row>
    <row r="521" spans="4:4">
      <c r="D521" s="29"/>
    </row>
    <row r="522" spans="4:4">
      <c r="D522" s="29"/>
    </row>
    <row r="523" spans="4:4">
      <c r="D523" s="29"/>
    </row>
    <row r="524" spans="4:4">
      <c r="D524" s="29"/>
    </row>
    <row r="525" spans="4:4">
      <c r="D525" s="29"/>
    </row>
    <row r="526" spans="4:4">
      <c r="D526" s="29"/>
    </row>
    <row r="527" spans="4:4">
      <c r="D527" s="29"/>
    </row>
    <row r="528" spans="4:4">
      <c r="D528" s="29"/>
    </row>
    <row r="529" spans="4:4">
      <c r="D529" s="29"/>
    </row>
    <row r="530" spans="4:4">
      <c r="D530" s="29"/>
    </row>
    <row r="531" spans="4:4">
      <c r="D531" s="29"/>
    </row>
    <row r="532" spans="4:4">
      <c r="D532" s="29"/>
    </row>
    <row r="533" spans="4:4">
      <c r="D533" s="29"/>
    </row>
    <row r="534" spans="4:4">
      <c r="D534" s="29"/>
    </row>
    <row r="535" spans="4:4">
      <c r="D535" s="29"/>
    </row>
    <row r="536" spans="4:4">
      <c r="D536" s="29"/>
    </row>
    <row r="537" spans="4:4">
      <c r="D537" s="29"/>
    </row>
    <row r="538" spans="4:4">
      <c r="D538" s="29"/>
    </row>
    <row r="539" spans="4:4">
      <c r="D539" s="29"/>
    </row>
    <row r="540" spans="4:4">
      <c r="D540" s="29"/>
    </row>
    <row r="541" spans="4:4">
      <c r="D541" s="29"/>
    </row>
    <row r="542" spans="4:4">
      <c r="D542" s="29"/>
    </row>
    <row r="543" spans="4:4">
      <c r="D543" s="29"/>
    </row>
    <row r="544" spans="4:4">
      <c r="D544" s="29"/>
    </row>
    <row r="545" spans="4:4">
      <c r="D545" s="29"/>
    </row>
    <row r="546" spans="4:4">
      <c r="D546" s="29"/>
    </row>
    <row r="547" spans="4:4">
      <c r="D547" s="29"/>
    </row>
    <row r="548" spans="4:4">
      <c r="D548" s="29"/>
    </row>
    <row r="549" spans="4:4">
      <c r="D549" s="29"/>
    </row>
    <row r="550" spans="4:4">
      <c r="D550" s="29"/>
    </row>
    <row r="551" spans="4:4">
      <c r="D551" s="29"/>
    </row>
    <row r="552" spans="4:4">
      <c r="D552" s="29"/>
    </row>
    <row r="553" spans="4:4">
      <c r="D553" s="29"/>
    </row>
    <row r="554" spans="4:4">
      <c r="D554" s="29"/>
    </row>
    <row r="555" spans="4:4">
      <c r="D555" s="29"/>
    </row>
    <row r="556" spans="4:4">
      <c r="D556" s="29"/>
    </row>
    <row r="557" spans="4:4">
      <c r="D557" s="29"/>
    </row>
    <row r="558" spans="4:4">
      <c r="D558" s="29"/>
    </row>
    <row r="559" spans="4:4">
      <c r="D559" s="29"/>
    </row>
    <row r="560" spans="4:4">
      <c r="D560" s="29"/>
    </row>
    <row r="561" spans="4:4">
      <c r="D561" s="29"/>
    </row>
    <row r="562" spans="4:4">
      <c r="D562" s="29"/>
    </row>
    <row r="563" spans="4:4">
      <c r="D563" s="29"/>
    </row>
    <row r="564" spans="4:4">
      <c r="D564" s="29"/>
    </row>
    <row r="565" spans="4:4">
      <c r="D565" s="29"/>
    </row>
    <row r="566" spans="4:4">
      <c r="D566" s="29"/>
    </row>
    <row r="567" spans="4:4">
      <c r="D567" s="29"/>
    </row>
    <row r="568" spans="4:4">
      <c r="D568" s="29"/>
    </row>
    <row r="569" spans="4:4">
      <c r="D569" s="29"/>
    </row>
    <row r="570" spans="4:4">
      <c r="D570" s="29"/>
    </row>
    <row r="571" spans="4:4">
      <c r="D571" s="29"/>
    </row>
    <row r="572" spans="4:4">
      <c r="D572" s="29"/>
    </row>
    <row r="573" spans="4:4">
      <c r="D573" s="29"/>
    </row>
    <row r="574" spans="4:4">
      <c r="D574" s="29"/>
    </row>
    <row r="575" spans="4:4">
      <c r="D575" s="29"/>
    </row>
    <row r="576" spans="4:4">
      <c r="D576" s="29"/>
    </row>
    <row r="577" spans="4:4">
      <c r="D577" s="29"/>
    </row>
    <row r="578" spans="4:4">
      <c r="D578" s="29"/>
    </row>
    <row r="579" spans="4:4">
      <c r="D579" s="29"/>
    </row>
    <row r="580" spans="4:4">
      <c r="D580" s="29"/>
    </row>
    <row r="581" spans="4:4">
      <c r="D581" s="29"/>
    </row>
    <row r="582" spans="4:4">
      <c r="D582" s="29"/>
    </row>
    <row r="583" spans="4:4">
      <c r="D583" s="29"/>
    </row>
    <row r="584" spans="4:4">
      <c r="D584" s="29"/>
    </row>
    <row r="585" spans="4:4">
      <c r="D585" s="29"/>
    </row>
    <row r="586" spans="4:4">
      <c r="D586" s="29"/>
    </row>
    <row r="587" spans="4:4">
      <c r="D587" s="29"/>
    </row>
    <row r="588" spans="4:4">
      <c r="D588" s="29"/>
    </row>
    <row r="589" spans="4:4">
      <c r="D589" s="29"/>
    </row>
    <row r="590" spans="4:4">
      <c r="D590" s="29"/>
    </row>
    <row r="591" spans="4:4">
      <c r="D591" s="29"/>
    </row>
    <row r="592" spans="4:4">
      <c r="D592" s="29"/>
    </row>
    <row r="593" spans="4:4">
      <c r="D593" s="29"/>
    </row>
    <row r="594" spans="4:4">
      <c r="D594" s="29"/>
    </row>
    <row r="595" spans="4:4">
      <c r="D595" s="29"/>
    </row>
    <row r="596" spans="4:4">
      <c r="D596" s="29"/>
    </row>
    <row r="597" spans="4:4">
      <c r="D597" s="29"/>
    </row>
    <row r="598" spans="4:4">
      <c r="D598" s="29"/>
    </row>
    <row r="599" spans="4:4">
      <c r="D599" s="29"/>
    </row>
    <row r="600" spans="4:4">
      <c r="D600" s="29"/>
    </row>
    <row r="601" spans="4:4">
      <c r="D601" s="29"/>
    </row>
    <row r="602" spans="4:4">
      <c r="D602" s="29"/>
    </row>
    <row r="603" spans="4:4">
      <c r="D603" s="29"/>
    </row>
    <row r="604" spans="4:4">
      <c r="D604" s="29"/>
    </row>
    <row r="605" spans="4:4">
      <c r="D605" s="29"/>
    </row>
    <row r="606" spans="4:4">
      <c r="D606" s="29"/>
    </row>
    <row r="607" spans="4:4">
      <c r="D607" s="29"/>
    </row>
    <row r="608" spans="4:4">
      <c r="D608" s="29"/>
    </row>
    <row r="609" spans="4:4">
      <c r="D609" s="29"/>
    </row>
    <row r="610" spans="4:4">
      <c r="D610" s="29"/>
    </row>
    <row r="611" spans="4:4">
      <c r="D611" s="29"/>
    </row>
    <row r="612" spans="4:4">
      <c r="D612" s="29"/>
    </row>
    <row r="613" spans="4:4">
      <c r="D613" s="29"/>
    </row>
    <row r="614" spans="4:4">
      <c r="D614" s="29"/>
    </row>
    <row r="615" spans="4:4">
      <c r="D615" s="29"/>
    </row>
    <row r="616" spans="4:4">
      <c r="D616" s="29"/>
    </row>
    <row r="617" spans="4:4">
      <c r="D617" s="29"/>
    </row>
    <row r="618" spans="4:4">
      <c r="D618" s="29"/>
    </row>
    <row r="619" spans="4:4">
      <c r="D619" s="29"/>
    </row>
    <row r="620" spans="4:4">
      <c r="D620" s="29"/>
    </row>
    <row r="621" spans="4:4">
      <c r="D621" s="29"/>
    </row>
    <row r="622" spans="4:4">
      <c r="D622" s="29"/>
    </row>
    <row r="623" spans="4:4">
      <c r="D623" s="29"/>
    </row>
    <row r="624" spans="4:4">
      <c r="D624" s="29"/>
    </row>
    <row r="625" spans="4:4">
      <c r="D625" s="29"/>
    </row>
    <row r="626" spans="4:4">
      <c r="D626" s="29"/>
    </row>
    <row r="627" spans="4:4">
      <c r="D627" s="29"/>
    </row>
    <row r="628" spans="4:4">
      <c r="D628" s="29"/>
    </row>
    <row r="629" spans="4:4">
      <c r="D629" s="29"/>
    </row>
    <row r="630" spans="4:4">
      <c r="D630" s="29"/>
    </row>
    <row r="631" spans="4:4">
      <c r="D631" s="29"/>
    </row>
    <row r="632" spans="4:4">
      <c r="D632" s="29"/>
    </row>
    <row r="633" spans="4:4">
      <c r="D633" s="29"/>
    </row>
    <row r="634" spans="4:4">
      <c r="D634" s="29"/>
    </row>
    <row r="635" spans="4:4">
      <c r="D635" s="29"/>
    </row>
    <row r="636" spans="4:4">
      <c r="D636" s="29"/>
    </row>
    <row r="637" spans="4:4">
      <c r="D637" s="29"/>
    </row>
    <row r="638" spans="4:4">
      <c r="D638" s="29"/>
    </row>
    <row r="639" spans="4:4">
      <c r="D639" s="29"/>
    </row>
    <row r="640" spans="4:4">
      <c r="D640" s="29"/>
    </row>
    <row r="641" spans="4:4">
      <c r="D641" s="29"/>
    </row>
    <row r="642" spans="4:4">
      <c r="D642" s="29"/>
    </row>
    <row r="643" spans="4:4">
      <c r="D643" s="29"/>
    </row>
    <row r="644" spans="4:4">
      <c r="D644" s="29"/>
    </row>
    <row r="645" spans="4:4">
      <c r="D645" s="29"/>
    </row>
    <row r="646" spans="4:4">
      <c r="D646" s="29"/>
    </row>
    <row r="647" spans="4:4">
      <c r="D647" s="29"/>
    </row>
    <row r="648" spans="4:4">
      <c r="D648" s="29"/>
    </row>
    <row r="649" spans="4:4">
      <c r="D649" s="29"/>
    </row>
    <row r="650" spans="4:4">
      <c r="D650" s="29"/>
    </row>
    <row r="651" spans="4:4">
      <c r="D651" s="29"/>
    </row>
    <row r="652" spans="4:4">
      <c r="D652" s="29"/>
    </row>
    <row r="653" spans="4:4">
      <c r="D653" s="29"/>
    </row>
    <row r="654" spans="4:4">
      <c r="D654" s="29"/>
    </row>
    <row r="655" spans="4:4">
      <c r="D655" s="29"/>
    </row>
    <row r="656" spans="4:4">
      <c r="D656" s="29"/>
    </row>
    <row r="657" spans="4:4">
      <c r="D657" s="29"/>
    </row>
    <row r="658" spans="4:4">
      <c r="D658" s="29"/>
    </row>
    <row r="659" spans="4:4">
      <c r="D659" s="29"/>
    </row>
    <row r="660" spans="4:4">
      <c r="D660" s="29"/>
    </row>
    <row r="661" spans="4:4">
      <c r="D661" s="29"/>
    </row>
    <row r="662" spans="4:4">
      <c r="D662" s="29"/>
    </row>
    <row r="663" spans="4:4">
      <c r="D663" s="29"/>
    </row>
    <row r="664" spans="4:4">
      <c r="D664" s="29"/>
    </row>
    <row r="665" spans="4:4">
      <c r="D665" s="29"/>
    </row>
    <row r="666" spans="4:4">
      <c r="D666" s="29"/>
    </row>
    <row r="667" spans="4:4">
      <c r="D667" s="29"/>
    </row>
    <row r="668" spans="4:4">
      <c r="D668" s="29"/>
    </row>
    <row r="669" spans="4:4">
      <c r="D669" s="29"/>
    </row>
    <row r="670" spans="4:4">
      <c r="D670" s="29"/>
    </row>
    <row r="671" spans="4:4">
      <c r="D671" s="29"/>
    </row>
    <row r="672" spans="4:4">
      <c r="D672" s="29"/>
    </row>
    <row r="673" spans="4:4">
      <c r="D673" s="29"/>
    </row>
    <row r="674" spans="4:4">
      <c r="D674" s="29"/>
    </row>
    <row r="675" spans="4:4">
      <c r="D675" s="29"/>
    </row>
    <row r="676" spans="4:4">
      <c r="D676" s="29"/>
    </row>
    <row r="677" spans="4:4">
      <c r="D677" s="29"/>
    </row>
    <row r="678" spans="4:4">
      <c r="D678" s="29"/>
    </row>
    <row r="679" spans="4:4">
      <c r="D679" s="29"/>
    </row>
    <row r="680" spans="4:4">
      <c r="D680" s="29"/>
    </row>
    <row r="681" spans="4:4">
      <c r="D681" s="29"/>
    </row>
    <row r="682" spans="4:4">
      <c r="D682" s="29"/>
    </row>
    <row r="683" spans="4:4">
      <c r="D683" s="29"/>
    </row>
    <row r="684" spans="4:4">
      <c r="D684" s="29"/>
    </row>
    <row r="685" spans="4:4">
      <c r="D685" s="29"/>
    </row>
    <row r="686" spans="4:4">
      <c r="D686" s="29"/>
    </row>
    <row r="687" spans="4:4">
      <c r="D687" s="29"/>
    </row>
    <row r="688" spans="4:4">
      <c r="D688" s="29"/>
    </row>
    <row r="689" spans="4:4">
      <c r="D689" s="29"/>
    </row>
    <row r="690" spans="4:4">
      <c r="D690" s="29"/>
    </row>
    <row r="691" spans="4:4">
      <c r="D691" s="29"/>
    </row>
    <row r="692" spans="4:4">
      <c r="D692" s="29"/>
    </row>
    <row r="693" spans="4:4">
      <c r="D693" s="29"/>
    </row>
    <row r="694" spans="4:4">
      <c r="D694" s="29"/>
    </row>
    <row r="695" spans="4:4">
      <c r="D695" s="29"/>
    </row>
    <row r="696" spans="4:4">
      <c r="D696" s="29"/>
    </row>
    <row r="697" spans="4:4">
      <c r="D697" s="29"/>
    </row>
    <row r="698" spans="4:4">
      <c r="D698" s="29"/>
    </row>
    <row r="699" spans="4:4">
      <c r="D699" s="29"/>
    </row>
    <row r="700" spans="4:4">
      <c r="D700" s="29"/>
    </row>
    <row r="701" spans="4:4">
      <c r="D701" s="29"/>
    </row>
    <row r="702" spans="4:4">
      <c r="D702" s="29"/>
    </row>
    <row r="703" spans="4:4">
      <c r="D703" s="29"/>
    </row>
    <row r="704" spans="4:4">
      <c r="D704" s="29"/>
    </row>
    <row r="705" spans="4:4">
      <c r="D705" s="29"/>
    </row>
    <row r="706" spans="4:4">
      <c r="D706" s="29"/>
    </row>
    <row r="707" spans="4:4">
      <c r="D707" s="29"/>
    </row>
    <row r="708" spans="4:4">
      <c r="D708" s="29"/>
    </row>
    <row r="709" spans="4:4">
      <c r="D709" s="29"/>
    </row>
    <row r="710" spans="4:4">
      <c r="D710" s="29"/>
    </row>
    <row r="711" spans="4:4">
      <c r="D711" s="29"/>
    </row>
    <row r="712" spans="4:4">
      <c r="D712" s="29"/>
    </row>
    <row r="713" spans="4:4">
      <c r="D713" s="29"/>
    </row>
    <row r="714" spans="4:4">
      <c r="D714" s="29"/>
    </row>
    <row r="715" spans="4:4">
      <c r="D715" s="29"/>
    </row>
    <row r="716" spans="4:4">
      <c r="D716" s="29"/>
    </row>
    <row r="717" spans="4:4">
      <c r="D717" s="29"/>
    </row>
    <row r="718" spans="4:4">
      <c r="D718" s="29"/>
    </row>
    <row r="719" spans="4:4">
      <c r="D719" s="29"/>
    </row>
    <row r="720" spans="4:4">
      <c r="D720" s="29"/>
    </row>
    <row r="721" spans="4:4">
      <c r="D721" s="29"/>
    </row>
    <row r="722" spans="4:4">
      <c r="D722" s="29"/>
    </row>
    <row r="723" spans="4:4">
      <c r="D723" s="29"/>
    </row>
    <row r="724" spans="4:4">
      <c r="D724" s="29"/>
    </row>
    <row r="725" spans="4:4">
      <c r="D725" s="29"/>
    </row>
    <row r="726" spans="4:4">
      <c r="D726" s="29"/>
    </row>
    <row r="727" spans="4:4">
      <c r="D727" s="29"/>
    </row>
    <row r="728" spans="4:4">
      <c r="D728" s="29"/>
    </row>
    <row r="729" spans="4:4">
      <c r="D729" s="29"/>
    </row>
    <row r="730" spans="4:4">
      <c r="D730" s="29"/>
    </row>
    <row r="731" spans="4:4">
      <c r="D731" s="29"/>
    </row>
    <row r="732" spans="4:4">
      <c r="D732" s="29"/>
    </row>
    <row r="733" spans="4:4">
      <c r="D733" s="29"/>
    </row>
    <row r="734" spans="4:4">
      <c r="D734" s="29"/>
    </row>
    <row r="735" spans="4:4">
      <c r="D735" s="29"/>
    </row>
    <row r="736" spans="4:4">
      <c r="D736" s="29"/>
    </row>
    <row r="737" spans="4:4">
      <c r="D737" s="29"/>
    </row>
    <row r="738" spans="4:4">
      <c r="D738" s="29"/>
    </row>
    <row r="739" spans="4:4">
      <c r="D739" s="29"/>
    </row>
    <row r="740" spans="4:4">
      <c r="D740" s="29"/>
    </row>
    <row r="741" spans="4:4">
      <c r="D741" s="29"/>
    </row>
    <row r="742" spans="4:4">
      <c r="D742" s="29"/>
    </row>
    <row r="743" spans="4:4">
      <c r="D743" s="29"/>
    </row>
    <row r="744" spans="4:4">
      <c r="D744" s="29"/>
    </row>
    <row r="745" spans="4:4">
      <c r="D745" s="29"/>
    </row>
    <row r="746" spans="4:4">
      <c r="D746" s="29"/>
    </row>
    <row r="747" spans="4:4">
      <c r="D747" s="29"/>
    </row>
    <row r="748" spans="4:4">
      <c r="D748" s="29"/>
    </row>
    <row r="749" spans="4:4">
      <c r="D749" s="29"/>
    </row>
    <row r="750" spans="4:4">
      <c r="D750" s="29"/>
    </row>
    <row r="751" spans="4:4">
      <c r="D751" s="29"/>
    </row>
    <row r="752" spans="4:4">
      <c r="D752" s="29"/>
    </row>
    <row r="753" spans="4:4">
      <c r="D753" s="29"/>
    </row>
    <row r="754" spans="4:4">
      <c r="D754" s="29"/>
    </row>
    <row r="755" spans="4:4">
      <c r="D755" s="29"/>
    </row>
    <row r="756" spans="4:4">
      <c r="D756" s="29"/>
    </row>
    <row r="757" spans="4:4">
      <c r="D757" s="29"/>
    </row>
    <row r="758" spans="4:4">
      <c r="D758" s="29"/>
    </row>
    <row r="759" spans="4:4">
      <c r="D759" s="29"/>
    </row>
    <row r="760" spans="4:4">
      <c r="D760" s="29"/>
    </row>
    <row r="761" spans="4:4">
      <c r="D761" s="29"/>
    </row>
    <row r="762" spans="4:4">
      <c r="D762" s="29"/>
    </row>
    <row r="763" spans="4:4">
      <c r="D763" s="29"/>
    </row>
    <row r="764" spans="4:4">
      <c r="D764" s="29"/>
    </row>
    <row r="765" spans="4:4">
      <c r="D765" s="29"/>
    </row>
    <row r="766" spans="4:4">
      <c r="D766" s="29"/>
    </row>
    <row r="767" spans="4:4">
      <c r="D767" s="29"/>
    </row>
    <row r="768" spans="4:4">
      <c r="D768" s="29"/>
    </row>
    <row r="769" spans="4:4">
      <c r="D769" s="29"/>
    </row>
    <row r="770" spans="4:4">
      <c r="D770" s="29"/>
    </row>
    <row r="771" spans="4:4">
      <c r="D771" s="29"/>
    </row>
    <row r="772" spans="4:4">
      <c r="D772" s="29"/>
    </row>
    <row r="773" spans="4:4">
      <c r="D773" s="29"/>
    </row>
    <row r="774" spans="4:4">
      <c r="D774" s="29"/>
    </row>
    <row r="775" spans="4:4">
      <c r="D775" s="29"/>
    </row>
    <row r="776" spans="4:4">
      <c r="D776" s="29"/>
    </row>
    <row r="777" spans="4:4">
      <c r="D777" s="29"/>
    </row>
    <row r="778" spans="4:4">
      <c r="D778" s="29"/>
    </row>
    <row r="779" spans="4:4">
      <c r="D779" s="29"/>
    </row>
    <row r="780" spans="4:4">
      <c r="D780" s="29"/>
    </row>
    <row r="781" spans="4:4">
      <c r="D781" s="29"/>
    </row>
    <row r="782" spans="4:4">
      <c r="D782" s="29"/>
    </row>
    <row r="783" spans="4:4">
      <c r="D783" s="29"/>
    </row>
    <row r="784" spans="4:4">
      <c r="D784" s="29"/>
    </row>
    <row r="785" spans="4:4">
      <c r="D785" s="29"/>
    </row>
    <row r="786" spans="4:4">
      <c r="D786" s="29"/>
    </row>
    <row r="787" spans="4:4">
      <c r="D787" s="29"/>
    </row>
    <row r="788" spans="4:4">
      <c r="D788" s="29"/>
    </row>
    <row r="789" spans="4:4">
      <c r="D789" s="29"/>
    </row>
    <row r="790" spans="4:4">
      <c r="D790" s="29"/>
    </row>
    <row r="791" spans="4:4">
      <c r="D791" s="29"/>
    </row>
    <row r="792" spans="4:4">
      <c r="D792" s="29"/>
    </row>
    <row r="793" spans="4:4">
      <c r="D793" s="29"/>
    </row>
    <row r="794" spans="4:4">
      <c r="D794" s="29"/>
    </row>
    <row r="795" spans="4:4">
      <c r="D795" s="29"/>
    </row>
    <row r="796" spans="4:4">
      <c r="D796" s="29"/>
    </row>
    <row r="797" spans="4:4">
      <c r="D797" s="29"/>
    </row>
    <row r="798" spans="4:4">
      <c r="D798" s="29"/>
    </row>
    <row r="799" spans="4:4">
      <c r="D799" s="29"/>
    </row>
    <row r="800" spans="4:4">
      <c r="D800" s="29"/>
    </row>
    <row r="801" spans="4:4">
      <c r="D801" s="29"/>
    </row>
    <row r="802" spans="4:4">
      <c r="D802" s="29"/>
    </row>
    <row r="803" spans="4:4">
      <c r="D803" s="29"/>
    </row>
    <row r="804" spans="4:4">
      <c r="D804" s="29"/>
    </row>
    <row r="805" spans="4:4">
      <c r="D805" s="29"/>
    </row>
    <row r="806" spans="4:4">
      <c r="D806" s="29"/>
    </row>
    <row r="807" spans="4:4">
      <c r="D807" s="29"/>
    </row>
    <row r="808" spans="4:4">
      <c r="D808" s="29"/>
    </row>
    <row r="809" spans="4:4">
      <c r="D809" s="30"/>
    </row>
  </sheetData>
  <sheetProtection insertColumns="0" insertRows="0" deleteRows="0"/>
  <conditionalFormatting sqref="B5:B6">
    <cfRule type="expression" dxfId="1" priority="682" stopIfTrue="1">
      <formula>$C5=YES</formula>
    </cfRule>
  </conditionalFormatting>
  <conditionalFormatting sqref="G5:H6 C5:C6 D7:D808">
    <cfRule type="expression" dxfId="0" priority="681" stopIfTrue="1">
      <formula>$B5=YES</formula>
    </cfRule>
  </conditionalFormatting>
  <hyperlinks>
    <hyperlink ref="E5" r:id="rId1"/>
    <hyperlink ref="E6" r:id="rId2"/>
  </hyperlinks>
  <pageMargins left="0.75" right="0.75" top="1" bottom="1" header="0.5" footer="0.5"/>
  <pageSetup orientation="portrait" horizontalDpi="4294967292" verticalDpi="4294967292"/>
  <drawing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3:K18"/>
  <sheetViews>
    <sheetView workbookViewId="0">
      <selection activeCell="D9" sqref="D9"/>
    </sheetView>
  </sheetViews>
  <sheetFormatPr baseColWidth="10" defaultRowHeight="15" x14ac:dyDescent="0"/>
  <cols>
    <col min="1" max="1" width="52.6640625" bestFit="1" customWidth="1"/>
    <col min="2" max="2" width="27.83203125" customWidth="1"/>
    <col min="3" max="3" width="27.33203125" customWidth="1"/>
    <col min="4" max="4" width="19.83203125" bestFit="1" customWidth="1"/>
    <col min="5" max="5" width="19" bestFit="1" customWidth="1"/>
  </cols>
  <sheetData>
    <row r="3" spans="1:11" ht="16" thickBot="1"/>
    <row r="4" spans="1:11" ht="16" thickBot="1">
      <c r="A4" s="40" t="s">
        <v>18</v>
      </c>
      <c r="B4" s="43" t="s">
        <v>17</v>
      </c>
      <c r="C4" s="44"/>
      <c r="D4" s="45" t="s">
        <v>19</v>
      </c>
      <c r="E4" s="46"/>
      <c r="F4" s="46"/>
      <c r="G4" s="46"/>
      <c r="H4" s="46"/>
      <c r="I4" s="46"/>
      <c r="J4" s="46"/>
      <c r="K4" s="47"/>
    </row>
    <row r="5" spans="1:11">
      <c r="A5" s="40"/>
      <c r="B5" s="8" t="s">
        <v>5</v>
      </c>
      <c r="C5" s="9" t="s">
        <v>6</v>
      </c>
      <c r="D5" s="8" t="s">
        <v>7</v>
      </c>
      <c r="E5" s="12" t="s">
        <v>8</v>
      </c>
      <c r="F5" s="12" t="s">
        <v>9</v>
      </c>
      <c r="G5" s="12" t="s">
        <v>10</v>
      </c>
      <c r="H5" s="12" t="s">
        <v>11</v>
      </c>
      <c r="I5" s="12" t="s">
        <v>12</v>
      </c>
      <c r="J5" s="12" t="s">
        <v>13</v>
      </c>
      <c r="K5" s="9"/>
    </row>
    <row r="6" spans="1:11" ht="346" thickBot="1">
      <c r="A6" s="40"/>
      <c r="B6" s="10" t="s">
        <v>51</v>
      </c>
      <c r="C6" s="11" t="s">
        <v>37</v>
      </c>
      <c r="D6" s="10" t="s">
        <v>52</v>
      </c>
      <c r="E6" s="13" t="s">
        <v>14</v>
      </c>
      <c r="F6" s="13" t="s">
        <v>36</v>
      </c>
      <c r="G6" s="13" t="s">
        <v>15</v>
      </c>
      <c r="H6" s="13" t="s">
        <v>35</v>
      </c>
      <c r="I6" s="13" t="s">
        <v>53</v>
      </c>
      <c r="J6" s="13" t="s">
        <v>54</v>
      </c>
      <c r="K6" s="11"/>
    </row>
    <row r="7" spans="1:11" ht="16" thickBot="1">
      <c r="A7" s="41" t="s">
        <v>80</v>
      </c>
      <c r="B7" s="48" t="s">
        <v>71</v>
      </c>
      <c r="C7" s="49"/>
      <c r="D7" s="48" t="s">
        <v>73</v>
      </c>
      <c r="E7" s="50"/>
      <c r="F7" s="50"/>
      <c r="G7" s="50"/>
      <c r="H7" s="50"/>
      <c r="I7" s="50"/>
      <c r="J7" s="50"/>
      <c r="K7" s="49"/>
    </row>
    <row r="8" spans="1:11">
      <c r="A8" s="41"/>
      <c r="B8" s="8" t="s">
        <v>71</v>
      </c>
      <c r="C8" s="9" t="s">
        <v>72</v>
      </c>
      <c r="D8" s="8" t="s">
        <v>81</v>
      </c>
      <c r="E8" s="23" t="s">
        <v>82</v>
      </c>
      <c r="F8" s="12">
        <v>3</v>
      </c>
      <c r="G8" s="12">
        <v>4</v>
      </c>
      <c r="H8" s="12">
        <v>5</v>
      </c>
      <c r="I8" s="12">
        <v>6</v>
      </c>
      <c r="J8" s="12"/>
      <c r="K8" s="17"/>
    </row>
    <row r="9" spans="1:11" ht="91" thickBot="1">
      <c r="A9" s="41"/>
      <c r="B9" s="15" t="s">
        <v>22</v>
      </c>
      <c r="C9" s="16" t="s">
        <v>23</v>
      </c>
      <c r="D9" s="15" t="s">
        <v>55</v>
      </c>
      <c r="E9" s="13" t="s">
        <v>24</v>
      </c>
      <c r="F9" s="18" t="s">
        <v>25</v>
      </c>
      <c r="G9" s="18" t="s">
        <v>26</v>
      </c>
      <c r="H9" s="13" t="s">
        <v>56</v>
      </c>
      <c r="I9" s="13" t="s">
        <v>57</v>
      </c>
      <c r="J9" s="13"/>
      <c r="K9" s="19"/>
    </row>
    <row r="10" spans="1:11" ht="16" thickBot="1">
      <c r="A10" s="40" t="s">
        <v>78</v>
      </c>
      <c r="B10" s="48" t="s">
        <v>74</v>
      </c>
      <c r="C10" s="50"/>
      <c r="D10" s="49"/>
      <c r="G10" s="1"/>
    </row>
    <row r="11" spans="1:11">
      <c r="A11" s="40"/>
      <c r="B11" s="20" t="s">
        <v>79</v>
      </c>
      <c r="C11" s="5">
        <v>-2</v>
      </c>
      <c r="D11" s="17">
        <v>-3</v>
      </c>
    </row>
    <row r="12" spans="1:11" ht="211" thickBot="1">
      <c r="A12" s="40"/>
      <c r="B12" s="15" t="s">
        <v>27</v>
      </c>
      <c r="C12" s="13" t="s">
        <v>83</v>
      </c>
      <c r="D12" s="11" t="s">
        <v>58</v>
      </c>
    </row>
    <row r="13" spans="1:11" ht="16" thickBot="1"/>
    <row r="14" spans="1:11" ht="16" thickBot="1">
      <c r="A14" s="42" t="s">
        <v>77</v>
      </c>
      <c r="B14" s="48" t="s">
        <v>75</v>
      </c>
      <c r="C14" s="50"/>
      <c r="D14" s="50"/>
      <c r="E14" s="50"/>
      <c r="F14" s="50"/>
      <c r="G14" s="50"/>
      <c r="H14" s="50"/>
      <c r="I14" s="49"/>
    </row>
    <row r="15" spans="1:11">
      <c r="A15" s="42"/>
      <c r="B15" s="20" t="s">
        <v>76</v>
      </c>
      <c r="C15" s="5">
        <v>-2</v>
      </c>
      <c r="D15" s="5">
        <v>-3</v>
      </c>
      <c r="E15" s="5">
        <v>-4</v>
      </c>
      <c r="F15" s="5">
        <v>-5</v>
      </c>
      <c r="G15" s="5">
        <v>-6</v>
      </c>
      <c r="H15" s="5">
        <v>-7</v>
      </c>
      <c r="I15" s="17">
        <v>-8</v>
      </c>
    </row>
    <row r="16" spans="1:11" ht="409.6" thickBot="1">
      <c r="A16" s="42"/>
      <c r="B16" s="10" t="s">
        <v>34</v>
      </c>
      <c r="C16" s="18" t="s">
        <v>28</v>
      </c>
      <c r="D16" s="13" t="s">
        <v>29</v>
      </c>
      <c r="E16" s="18" t="s">
        <v>30</v>
      </c>
      <c r="F16" s="13" t="s">
        <v>31</v>
      </c>
      <c r="G16" s="13" t="s">
        <v>38</v>
      </c>
      <c r="H16" s="13" t="s">
        <v>68</v>
      </c>
      <c r="I16" s="11" t="s">
        <v>33</v>
      </c>
    </row>
    <row r="17" spans="2:8" ht="75">
      <c r="B17" s="22" t="s">
        <v>61</v>
      </c>
      <c r="H17" s="14" t="s">
        <v>67</v>
      </c>
    </row>
    <row r="18" spans="2:8" ht="345">
      <c r="H18" s="14" t="s">
        <v>66</v>
      </c>
    </row>
  </sheetData>
  <mergeCells count="10">
    <mergeCell ref="D4:K4"/>
    <mergeCell ref="B7:C7"/>
    <mergeCell ref="D7:K7"/>
    <mergeCell ref="B10:D10"/>
    <mergeCell ref="B14:I14"/>
    <mergeCell ref="A4:A6"/>
    <mergeCell ref="A7:A9"/>
    <mergeCell ref="A10:A12"/>
    <mergeCell ref="A14:A16"/>
    <mergeCell ref="B4:C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Using Venue Database</vt:lpstr>
      <vt:lpstr>Data Set</vt:lpstr>
      <vt:lpstr>Defaults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 McGraw</dc:creator>
  <cp:lastModifiedBy>Brandon McGraw</cp:lastModifiedBy>
  <dcterms:created xsi:type="dcterms:W3CDTF">2012-07-22T18:05:05Z</dcterms:created>
  <dcterms:modified xsi:type="dcterms:W3CDTF">2013-08-20T19:34:13Z</dcterms:modified>
</cp:coreProperties>
</file>